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7" documentId="8_{8BDB731A-B895-47A3-BB2E-C754E5559E27}" xr6:coauthVersionLast="47" xr6:coauthVersionMax="47" xr10:uidLastSave="{EC647550-5E7A-426E-BA64-4D1886FF3C1F}"/>
  <bookViews>
    <workbookView xWindow="2205" yWindow="997" windowWidth="16567" windowHeight="13403" tabRatio="500" firstSheet="5" activeTab="8" xr2:uid="{00000000-000D-0000-FFFF-FFFF00000000}"/>
  </bookViews>
  <sheets>
    <sheet name="①月次KPI目標" sheetId="1" r:id="rId1"/>
    <sheet name="②月次活動計画" sheetId="2" r:id="rId2"/>
    <sheet name="③月次KPI実績管理" sheetId="3" r:id="rId3"/>
    <sheet name="④KPI逆算ロジック" sheetId="4" r:id="rId4"/>
    <sheet name="Instagram分析" sheetId="5" r:id="rId5"/>
    <sheet name="2月実績詳細" sheetId="6" r:id="rId6"/>
    <sheet name="Instagram課題・対策" sheetId="7" r:id="rId7"/>
    <sheet name="25年度実績" sheetId="8" r:id="rId8"/>
    <sheet name="④取引先マスタ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3" i="9" l="1"/>
  <c r="D75" i="6"/>
  <c r="C75" i="6"/>
  <c r="C76" i="6" s="1"/>
  <c r="H562" i="3"/>
  <c r="G562" i="3"/>
  <c r="H561" i="3"/>
  <c r="G561" i="3"/>
  <c r="H560" i="3"/>
  <c r="G560" i="3"/>
  <c r="H559" i="3"/>
  <c r="G559" i="3"/>
  <c r="G558" i="3"/>
  <c r="G557" i="3"/>
  <c r="G556" i="3"/>
  <c r="G555" i="3"/>
  <c r="G554" i="3"/>
  <c r="G553" i="3"/>
  <c r="G552" i="3"/>
  <c r="G551" i="3"/>
  <c r="G549" i="3"/>
  <c r="G548" i="3"/>
  <c r="G547" i="3"/>
  <c r="G546" i="3"/>
  <c r="G545" i="3"/>
  <c r="G544" i="3"/>
  <c r="G543" i="3"/>
  <c r="G541" i="3"/>
  <c r="G540" i="3"/>
  <c r="H534" i="3"/>
  <c r="G534" i="3"/>
  <c r="H533" i="3"/>
  <c r="G533" i="3"/>
  <c r="H532" i="3"/>
  <c r="G532" i="3"/>
  <c r="H531" i="3"/>
  <c r="G531" i="3"/>
  <c r="H530" i="3"/>
  <c r="G530" i="3"/>
  <c r="H529" i="3"/>
  <c r="G529" i="3"/>
  <c r="H528" i="3"/>
  <c r="G528" i="3"/>
  <c r="H527" i="3"/>
  <c r="G527" i="3"/>
  <c r="H526" i="3"/>
  <c r="G526" i="3"/>
  <c r="H522" i="3"/>
  <c r="G522" i="3"/>
  <c r="H521" i="3"/>
  <c r="G521" i="3"/>
  <c r="H520" i="3"/>
  <c r="G520" i="3"/>
  <c r="G519" i="3"/>
  <c r="G518" i="3"/>
  <c r="G517" i="3"/>
  <c r="G516" i="3"/>
  <c r="G515" i="3"/>
  <c r="G514" i="3"/>
  <c r="G513" i="3"/>
  <c r="G512" i="3"/>
  <c r="G510" i="3"/>
  <c r="G509" i="3"/>
  <c r="G508" i="3"/>
  <c r="G507" i="3"/>
  <c r="G506" i="3"/>
  <c r="G505" i="3"/>
  <c r="G504" i="3"/>
  <c r="G502" i="3"/>
  <c r="G501" i="3"/>
  <c r="H495" i="3"/>
  <c r="G495" i="3"/>
  <c r="H494" i="3"/>
  <c r="G494" i="3"/>
  <c r="H493" i="3"/>
  <c r="G493" i="3"/>
  <c r="H492" i="3"/>
  <c r="G492" i="3"/>
  <c r="H491" i="3"/>
  <c r="G491" i="3"/>
  <c r="H490" i="3"/>
  <c r="G490" i="3"/>
  <c r="H489" i="3"/>
  <c r="G489" i="3"/>
  <c r="H488" i="3"/>
  <c r="G488" i="3"/>
  <c r="H487" i="3"/>
  <c r="G487" i="3"/>
  <c r="G484" i="3"/>
  <c r="G483" i="3"/>
  <c r="G482" i="3"/>
  <c r="G481" i="3"/>
  <c r="G480" i="3"/>
  <c r="G479" i="3"/>
  <c r="G478" i="3"/>
  <c r="G477" i="3"/>
  <c r="G475" i="3"/>
  <c r="G474" i="3"/>
  <c r="G473" i="3"/>
  <c r="G472" i="3"/>
  <c r="G471" i="3"/>
  <c r="G470" i="3"/>
  <c r="G469" i="3"/>
  <c r="H456" i="3"/>
  <c r="G456" i="3"/>
  <c r="H454" i="3"/>
  <c r="G454" i="3"/>
  <c r="H453" i="3"/>
  <c r="G453" i="3"/>
  <c r="H452" i="3"/>
  <c r="G452" i="3"/>
  <c r="H451" i="3"/>
  <c r="G451" i="3"/>
  <c r="H450" i="3"/>
  <c r="G450" i="3"/>
  <c r="H449" i="3"/>
  <c r="G449" i="3"/>
  <c r="H448" i="3"/>
  <c r="G448" i="3"/>
  <c r="G445" i="3"/>
  <c r="G444" i="3"/>
  <c r="G443" i="3"/>
  <c r="G442" i="3"/>
  <c r="G441" i="3"/>
  <c r="G439" i="3"/>
  <c r="G438" i="3"/>
  <c r="G434" i="3"/>
  <c r="G433" i="3"/>
  <c r="G432" i="3"/>
  <c r="G419" i="3"/>
  <c r="H418" i="3"/>
  <c r="G418" i="3"/>
  <c r="H417" i="3"/>
  <c r="G417" i="3"/>
  <c r="H416" i="3"/>
  <c r="G416" i="3"/>
  <c r="H415" i="3"/>
  <c r="G415" i="3"/>
  <c r="H414" i="3"/>
  <c r="G414" i="3"/>
  <c r="H413" i="3"/>
  <c r="G413" i="3"/>
  <c r="H412" i="3"/>
  <c r="G412" i="3"/>
  <c r="H411" i="3"/>
  <c r="G411" i="3"/>
  <c r="H410" i="3"/>
  <c r="G410" i="3"/>
  <c r="G405" i="3"/>
  <c r="G403" i="3"/>
  <c r="G402" i="3"/>
  <c r="G401" i="3"/>
  <c r="G396" i="3"/>
  <c r="G395" i="3"/>
  <c r="G393" i="3"/>
  <c r="G392" i="3"/>
  <c r="G391" i="3"/>
  <c r="H382" i="3"/>
  <c r="G382" i="3"/>
  <c r="H381" i="3"/>
  <c r="G381" i="3"/>
  <c r="H379" i="3"/>
  <c r="G379" i="3"/>
  <c r="H378" i="3"/>
  <c r="G378" i="3"/>
  <c r="H377" i="3"/>
  <c r="G377" i="3"/>
  <c r="H375" i="3"/>
  <c r="G375" i="3"/>
  <c r="G363" i="3"/>
  <c r="G362" i="3"/>
  <c r="G361" i="3"/>
  <c r="G360" i="3"/>
  <c r="G358" i="3"/>
  <c r="G357" i="3"/>
  <c r="G356" i="3"/>
  <c r="G355" i="3"/>
  <c r="G354" i="3"/>
  <c r="G353" i="3"/>
  <c r="G352" i="3"/>
  <c r="G350" i="3"/>
  <c r="H342" i="3"/>
  <c r="G342" i="3"/>
  <c r="H337" i="3"/>
  <c r="G337" i="3"/>
  <c r="H332" i="3"/>
  <c r="G332" i="3"/>
  <c r="G328" i="3"/>
  <c r="G327" i="3"/>
  <c r="G319" i="3"/>
  <c r="G318" i="3"/>
  <c r="G313" i="3"/>
  <c r="G311" i="3"/>
  <c r="G310" i="3"/>
  <c r="H298" i="3"/>
  <c r="G298" i="3"/>
  <c r="H292" i="3"/>
  <c r="G292" i="3"/>
  <c r="G289" i="3"/>
  <c r="G288" i="3"/>
  <c r="G287" i="3"/>
  <c r="G285" i="3"/>
  <c r="G283" i="3"/>
  <c r="G250" i="3"/>
  <c r="G236" i="3"/>
  <c r="H219" i="3"/>
  <c r="G219" i="3"/>
  <c r="G194" i="3"/>
  <c r="G161" i="3"/>
  <c r="G160" i="3"/>
  <c r="G159" i="3"/>
  <c r="G158" i="3"/>
  <c r="G127" i="3"/>
  <c r="G108" i="3"/>
  <c r="G106" i="3"/>
  <c r="G105" i="3"/>
  <c r="G104" i="3"/>
  <c r="G103" i="3"/>
  <c r="G102" i="3"/>
  <c r="G101" i="3"/>
  <c r="G99" i="3"/>
  <c r="G98" i="3"/>
  <c r="G83" i="3"/>
  <c r="G81" i="3"/>
  <c r="G78" i="3"/>
  <c r="G71" i="3"/>
  <c r="G68" i="3"/>
  <c r="G67" i="3"/>
  <c r="G63" i="3"/>
  <c r="G62" i="3"/>
  <c r="G55" i="3"/>
  <c r="G48" i="3"/>
  <c r="G47" i="3"/>
  <c r="G46" i="3"/>
  <c r="G36" i="3"/>
  <c r="G35" i="3"/>
  <c r="G33" i="3"/>
  <c r="G32" i="3"/>
  <c r="G31" i="3"/>
  <c r="G30" i="3"/>
  <c r="G23" i="3"/>
  <c r="F20" i="3"/>
  <c r="E20" i="3"/>
  <c r="D20" i="3"/>
  <c r="C20" i="3"/>
  <c r="O58" i="1"/>
  <c r="H58" i="1"/>
  <c r="G58" i="1"/>
  <c r="F58" i="1"/>
  <c r="E58" i="1"/>
  <c r="O57" i="1"/>
  <c r="N57" i="1"/>
  <c r="M57" i="1"/>
  <c r="L57" i="1"/>
  <c r="L58" i="1" s="1"/>
  <c r="K57" i="1"/>
  <c r="K58" i="1" s="1"/>
  <c r="J57" i="1"/>
  <c r="J58" i="1" s="1"/>
  <c r="I57" i="1"/>
  <c r="I58" i="1" s="1"/>
  <c r="H57" i="1"/>
  <c r="G57" i="1"/>
  <c r="F57" i="1"/>
  <c r="E57" i="1"/>
  <c r="D57" i="1"/>
  <c r="D58" i="1" s="1"/>
  <c r="P47" i="1"/>
  <c r="P46" i="1"/>
  <c r="P45" i="1"/>
  <c r="P44" i="1"/>
  <c r="P43" i="1"/>
  <c r="P42" i="1"/>
  <c r="P41" i="1"/>
  <c r="P38" i="1"/>
  <c r="P37" i="1"/>
  <c r="P34" i="1"/>
  <c r="P33" i="1"/>
  <c r="P32" i="1"/>
  <c r="P31" i="1"/>
  <c r="P30" i="1"/>
  <c r="P25" i="1"/>
  <c r="P24" i="1"/>
  <c r="P23" i="1"/>
  <c r="O20" i="1"/>
  <c r="N20" i="1"/>
  <c r="M20" i="1"/>
  <c r="L20" i="1"/>
  <c r="K20" i="1"/>
  <c r="J20" i="1"/>
  <c r="I20" i="1"/>
  <c r="H20" i="1"/>
  <c r="G20" i="1"/>
  <c r="F20" i="1"/>
  <c r="E20" i="1"/>
  <c r="D20" i="1"/>
  <c r="P19" i="1"/>
  <c r="P18" i="1"/>
  <c r="P17" i="1"/>
  <c r="P16" i="1"/>
  <c r="P15" i="1"/>
  <c r="P20" i="1" s="1"/>
  <c r="P14" i="1"/>
  <c r="O11" i="1"/>
  <c r="N11" i="1"/>
  <c r="M11" i="1"/>
  <c r="L11" i="1"/>
  <c r="K11" i="1"/>
  <c r="J11" i="1"/>
  <c r="I11" i="1"/>
  <c r="H11" i="1"/>
  <c r="G11" i="1"/>
  <c r="F11" i="1"/>
  <c r="E11" i="1"/>
  <c r="D11" i="1"/>
  <c r="P10" i="1"/>
  <c r="P9" i="1"/>
  <c r="P8" i="1"/>
  <c r="P7" i="1"/>
  <c r="P6" i="1"/>
  <c r="P5" i="1"/>
  <c r="P11" i="1" s="1"/>
</calcChain>
</file>

<file path=xl/sharedStrings.xml><?xml version="1.0" encoding="utf-8"?>
<sst xmlns="http://schemas.openxmlformats.org/spreadsheetml/2006/main" count="2452" uniqueCount="784">
  <si>
    <r>
      <rPr>
        <b/>
        <sz val="12"/>
        <color rgb="FFFFFFFF"/>
        <rFont val="Arial"/>
        <family val="2"/>
      </rPr>
      <t xml:space="preserve">SHUWAN </t>
    </r>
    <r>
      <rPr>
        <b/>
        <sz val="12"/>
        <color rgb="FFFFFFFF"/>
        <rFont val="Noto Sans CJK SC"/>
        <family val="2"/>
      </rPr>
      <t>月次</t>
    </r>
    <r>
      <rPr>
        <b/>
        <sz val="12"/>
        <color rgb="FFFFFFFF"/>
        <rFont val="Arial"/>
        <family val="2"/>
      </rPr>
      <t>KPI</t>
    </r>
    <r>
      <rPr>
        <b/>
        <sz val="12"/>
        <color rgb="FFFFFFFF"/>
        <rFont val="Noto Sans CJK SC"/>
        <family val="2"/>
      </rPr>
      <t xml:space="preserve">目標シート ― </t>
    </r>
    <r>
      <rPr>
        <b/>
        <sz val="12"/>
        <color rgb="FFFFFFFF"/>
        <rFont val="Arial"/>
        <family val="2"/>
      </rPr>
      <t>26</t>
    </r>
    <r>
      <rPr>
        <b/>
        <sz val="12"/>
        <color rgb="FFFFFFFF"/>
        <rFont val="Noto Sans CJK SC"/>
        <family val="2"/>
      </rPr>
      <t>年度（</t>
    </r>
    <r>
      <rPr>
        <b/>
        <sz val="12"/>
        <color rgb="FFFFFFFF"/>
        <rFont val="Arial"/>
        <family val="2"/>
      </rPr>
      <t>2025</t>
    </r>
    <r>
      <rPr>
        <b/>
        <sz val="12"/>
        <color rgb="FFFFFFFF"/>
        <rFont val="Noto Sans CJK SC"/>
        <family val="2"/>
      </rPr>
      <t>年</t>
    </r>
    <r>
      <rPr>
        <b/>
        <sz val="12"/>
        <color rgb="FFFFFFFF"/>
        <rFont val="Arial"/>
        <family val="2"/>
      </rPr>
      <t>2</t>
    </r>
    <r>
      <rPr>
        <b/>
        <sz val="12"/>
        <color rgb="FFFFFFFF"/>
        <rFont val="Noto Sans CJK SC"/>
        <family val="2"/>
      </rPr>
      <t>月〜</t>
    </r>
    <r>
      <rPr>
        <b/>
        <sz val="12"/>
        <color rgb="FFFFFFFF"/>
        <rFont val="Arial"/>
        <family val="2"/>
      </rPr>
      <t>2026</t>
    </r>
    <r>
      <rPr>
        <b/>
        <sz val="12"/>
        <color rgb="FFFFFFFF"/>
        <rFont val="Noto Sans CJK SC"/>
        <family val="2"/>
      </rPr>
      <t>年</t>
    </r>
    <r>
      <rPr>
        <b/>
        <sz val="12"/>
        <color rgb="FFFFFFFF"/>
        <rFont val="Arial"/>
        <family val="2"/>
      </rPr>
      <t>1</t>
    </r>
    <r>
      <rPr>
        <b/>
        <sz val="12"/>
        <color rgb="FFFFFFFF"/>
        <rFont val="Noto Sans CJK SC"/>
        <family val="2"/>
      </rPr>
      <t>月）</t>
    </r>
  </si>
  <si>
    <t>※青文字＝手入力値　黒文字＝計算式　黄背景＝要注意・計測未整備　【売上逆算の前提】自社EC CVR=5%、平均購入碗数=1.83碗/人</t>
  </si>
  <si>
    <r>
      <rPr>
        <b/>
        <sz val="10"/>
        <color rgb="FFFFFFFF"/>
        <rFont val="Arial"/>
        <family val="2"/>
      </rPr>
      <t xml:space="preserve">KPI / </t>
    </r>
    <r>
      <rPr>
        <b/>
        <sz val="10"/>
        <color rgb="FFFFFFFF"/>
        <rFont val="Noto Sans CJK SC"/>
        <family val="2"/>
      </rPr>
      <t>指標</t>
    </r>
  </si>
  <si>
    <t>単位</t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</si>
  <si>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</si>
  <si>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</si>
  <si>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</si>
  <si>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5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</si>
  <si>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6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</si>
  <si>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7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</si>
  <si>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8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</si>
  <si>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9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</si>
  <si>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10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</si>
  <si>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11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</si>
  <si>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12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</si>
  <si>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月</t>
    </r>
  </si>
  <si>
    <t>年間合計/平均</t>
  </si>
  <si>
    <t>【A】チャネル別 個数目標（碗/枚）</t>
  </si>
  <si>
    <t>酒販店</t>
  </si>
  <si>
    <t>碗</t>
  </si>
  <si>
    <t>自社EC</t>
  </si>
  <si>
    <t>Amazon</t>
  </si>
  <si>
    <t>外販</t>
  </si>
  <si>
    <t>MAKUAKE</t>
  </si>
  <si>
    <t>料飲店</t>
  </si>
  <si>
    <t>　合計</t>
  </si>
  <si>
    <t>【B】チャネル別 売上目標（円）</t>
  </si>
  <si>
    <t>円</t>
  </si>
  <si>
    <t>【C】KPI逆算値 ― 自社ECの販売目標達成に必要な指標（前提: CVR=5%, 平均1.83碗/人）</t>
  </si>
  <si>
    <t>③ 必要・販売ページPV</t>
  </si>
  <si>
    <r>
      <rPr>
        <sz val="9"/>
        <color rgb="FF888888"/>
        <rFont val="Arial"/>
        <family val="2"/>
      </rPr>
      <t>PV/</t>
    </r>
    <r>
      <rPr>
        <sz val="9"/>
        <color rgb="FF888888"/>
        <rFont val="Noto Sans CJK SC"/>
        <family val="2"/>
      </rPr>
      <t>月</t>
    </r>
  </si>
  <si>
    <t>　└ うち購入人数</t>
  </si>
  <si>
    <t>人/月</t>
  </si>
  <si>
    <t>④ 必要・TOPページ流入</t>
  </si>
  <si>
    <r>
      <rPr>
        <sz val="10"/>
        <color rgb="FF217346"/>
        <rFont val="Arial"/>
        <family val="2"/>
      </rPr>
      <t>⑤ CVR</t>
    </r>
    <r>
      <rPr>
        <sz val="10"/>
        <color rgb="FF217346"/>
        <rFont val="Noto Sans CJK SC"/>
        <family val="2"/>
      </rPr>
      <t>目標（固定）</t>
    </r>
  </si>
  <si>
    <t>%</t>
  </si>
  <si>
    <r>
      <rPr>
        <sz val="10"/>
        <color rgb="FF217346"/>
        <rFont val="Arial"/>
        <family val="2"/>
      </rPr>
      <t>⑥ 1</t>
    </r>
    <r>
      <rPr>
        <sz val="10"/>
        <color rgb="FF217346"/>
        <rFont val="Noto Sans CJK SC"/>
        <family val="2"/>
      </rPr>
      <t>人あたり購入碗数（目標）</t>
    </r>
  </si>
  <si>
    <t>碗/人</t>
  </si>
  <si>
    <t>【D】酒販店・料飲店 KPI目標</t>
  </si>
  <si>
    <t>① 取扱企業数（累計）</t>
  </si>
  <si>
    <t>社</t>
  </si>
  <si>
    <t>② 発注数（月次）</t>
  </si>
  <si>
    <t>件/月</t>
  </si>
  <si>
    <t>⑦ 料飲店アプローチ数</t>
  </si>
  <si>
    <t>⑧ 料飲店注文数</t>
  </si>
  <si>
    <t>⑨ 料飲店導入点数（累計）</t>
  </si>
  <si>
    <t>店舗</t>
  </si>
  <si>
    <t>【E】購入後体験・クチコミ KPI目標</t>
  </si>
  <si>
    <r>
      <rPr>
        <sz val="10"/>
        <color rgb="FF6A1B9A"/>
        <rFont val="Arial"/>
        <family val="2"/>
      </rPr>
      <t>⑩ UGC+</t>
    </r>
    <r>
      <rPr>
        <sz val="10"/>
        <color rgb="FF6A1B9A"/>
        <rFont val="Noto Sans CJK SC"/>
        <family val="2"/>
      </rPr>
      <t>レビュー件数</t>
    </r>
  </si>
  <si>
    <t>追③ リピート購入率</t>
  </si>
  <si>
    <t>【F】レベニューシェア利益目標（月次・チャネル別）</t>
  </si>
  <si>
    <t>※ 利益＝売上×利益率（酒販店30%、自社EC30%、Amazon売上×30%概算、外販30%、MAKUAKE20%、料飲店30%）　年間目標: 15,920,150円</t>
  </si>
  <si>
    <t>【G】25年度実績（前年同月・参考）</t>
  </si>
  <si>
    <r>
      <rPr>
        <sz val="9"/>
        <color rgb="FF666666"/>
        <rFont val="Calibri"/>
        <family val="2"/>
      </rPr>
      <t>※25</t>
    </r>
    <r>
      <rPr>
        <sz val="9"/>
        <color rgb="FF666666"/>
        <rFont val="Noto Sans CJK SC"/>
        <family val="2"/>
      </rPr>
      <t>年度（</t>
    </r>
    <r>
      <rPr>
        <sz val="9"/>
        <color rgb="FF666666"/>
        <rFont val="Calibri"/>
        <family val="2"/>
      </rPr>
      <t>2025</t>
    </r>
    <r>
      <rPr>
        <sz val="9"/>
        <color rgb="FF666666"/>
        <rFont val="Noto Sans CJK SC"/>
        <family val="2"/>
      </rPr>
      <t>年</t>
    </r>
    <r>
      <rPr>
        <sz val="9"/>
        <color rgb="FF666666"/>
        <rFont val="Calibri"/>
        <family val="2"/>
      </rPr>
      <t>1</t>
    </r>
    <r>
      <rPr>
        <sz val="9"/>
        <color rgb="FF666666"/>
        <rFont val="Noto Sans CJK SC"/>
        <family val="2"/>
      </rPr>
      <t>月〜</t>
    </r>
    <r>
      <rPr>
        <sz val="9"/>
        <color rgb="FF666666"/>
        <rFont val="Calibri"/>
        <family val="2"/>
      </rPr>
      <t>10</t>
    </r>
    <r>
      <rPr>
        <sz val="9"/>
        <color rgb="FF666666"/>
        <rFont val="Noto Sans CJK SC"/>
        <family val="2"/>
      </rPr>
      <t>月）の月次レベシェア実績。</t>
    </r>
    <r>
      <rPr>
        <sz val="9"/>
        <color rgb="FF666666"/>
        <rFont val="Calibri"/>
        <family val="2"/>
      </rPr>
      <t>26</t>
    </r>
    <r>
      <rPr>
        <sz val="9"/>
        <color rgb="FF666666"/>
        <rFont val="Noto Sans CJK SC"/>
        <family val="2"/>
      </rPr>
      <t>年度目標設定の参考値。</t>
    </r>
    <r>
      <rPr>
        <sz val="9"/>
        <color rgb="FF666666"/>
        <rFont val="Calibri"/>
        <family val="2"/>
      </rPr>
      <t>11</t>
    </r>
    <r>
      <rPr>
        <sz val="9"/>
        <color rgb="FF666666"/>
        <rFont val="Noto Sans CJK SC"/>
        <family val="2"/>
      </rPr>
      <t>月・</t>
    </r>
    <r>
      <rPr>
        <sz val="9"/>
        <color rgb="FF666666"/>
        <rFont val="Calibri"/>
        <family val="2"/>
      </rPr>
      <t>12</t>
    </r>
    <r>
      <rPr>
        <sz val="9"/>
        <color rgb="FF666666"/>
        <rFont val="Noto Sans CJK SC"/>
        <family val="2"/>
      </rPr>
      <t>月は未アップロード。</t>
    </r>
  </si>
  <si>
    <r>
      <rPr>
        <b/>
        <sz val="10"/>
        <color rgb="FFFFFFFF"/>
        <rFont val="Calibri"/>
        <family val="2"/>
      </rPr>
      <t xml:space="preserve">KPI / </t>
    </r>
    <r>
      <rPr>
        <b/>
        <sz val="10"/>
        <color rgb="FFFFFFFF"/>
        <rFont val="Noto Sans CJK SC"/>
        <family val="2"/>
      </rPr>
      <t>指標</t>
    </r>
  </si>
  <si>
    <r>
      <rPr>
        <b/>
        <sz val="10"/>
        <color rgb="FFFFFFFF"/>
        <rFont val="Calibri"/>
        <family val="2"/>
      </rPr>
      <t>2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</si>
  <si>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3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</si>
  <si>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4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</si>
  <si>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5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</si>
  <si>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6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</si>
  <si>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7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</si>
  <si>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8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</si>
  <si>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9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</si>
  <si>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10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</si>
  <si>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11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</si>
  <si>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12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</si>
  <si>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Calibri"/>
        <family val="2"/>
      </rPr>
      <t>1</t>
    </r>
    <r>
      <rPr>
        <b/>
        <sz val="10"/>
        <color rgb="FFFFFFFF"/>
        <rFont val="Noto Sans CJK SC"/>
        <family val="2"/>
      </rPr>
      <t>月</t>
    </r>
  </si>
  <si>
    <t>対象売上合計</t>
  </si>
  <si>
    <t>限界利益</t>
  </si>
  <si>
    <t>レベシェア利益（シンクロ60%）</t>
  </si>
  <si>
    <r>
      <rPr>
        <sz val="10"/>
        <color rgb="FF555555"/>
        <rFont val="Calibri"/>
        <family val="2"/>
      </rPr>
      <t>└ 26</t>
    </r>
    <r>
      <rPr>
        <sz val="10"/>
        <color rgb="FF555555"/>
        <rFont val="Noto Sans CJK SC"/>
        <family val="2"/>
      </rPr>
      <t>年度目標（合計）</t>
    </r>
  </si>
  <si>
    <t>└ 前年同月 達成率</t>
  </si>
  <si>
    <t>—</t>
  </si>
  <si>
    <r>
      <rPr>
        <b/>
        <sz val="12"/>
        <color rgb="FFFFFFFF"/>
        <rFont val="Arial"/>
        <family val="2"/>
      </rPr>
      <t xml:space="preserve">SHUWAN </t>
    </r>
    <r>
      <rPr>
        <b/>
        <sz val="12"/>
        <color rgb="FFFFFFFF"/>
        <rFont val="Noto Sans CJK SC"/>
        <family val="2"/>
      </rPr>
      <t>月次活動計画 ― チャネル別・優先度付き</t>
    </r>
  </si>
  <si>
    <r>
      <rPr>
        <sz val="9"/>
        <color rgb="FF888888"/>
        <rFont val="Arial"/>
        <family val="2"/>
      </rPr>
      <t>※🔴=</t>
    </r>
    <r>
      <rPr>
        <sz val="9"/>
        <color rgb="FF888888"/>
        <rFont val="Noto Sans CJK SC"/>
        <family val="2"/>
      </rPr>
      <t>最優先実施　🟡</t>
    </r>
    <r>
      <rPr>
        <sz val="9"/>
        <color rgb="FF888888"/>
        <rFont val="Arial"/>
        <family val="2"/>
      </rPr>
      <t>=</t>
    </r>
    <r>
      <rPr>
        <sz val="9"/>
        <color rgb="FF888888"/>
        <rFont val="Noto Sans CJK SC"/>
        <family val="2"/>
      </rPr>
      <t>実施推奨　○</t>
    </r>
    <r>
      <rPr>
        <sz val="9"/>
        <color rgb="FF888888"/>
        <rFont val="Arial"/>
        <family val="2"/>
      </rPr>
      <t>=</t>
    </r>
    <r>
      <rPr>
        <sz val="9"/>
        <color rgb="FF888888"/>
        <rFont val="Noto Sans CJK SC"/>
        <family val="2"/>
      </rPr>
      <t>通常実施　</t>
    </r>
    <r>
      <rPr>
        <sz val="9"/>
        <color rgb="FF888888"/>
        <rFont val="Arial"/>
        <family val="2"/>
      </rPr>
      <t>-=</t>
    </r>
    <r>
      <rPr>
        <sz val="9"/>
        <color rgb="FF888888"/>
        <rFont val="Noto Sans CJK SC"/>
        <family val="2"/>
      </rPr>
      <t>なし　　</t>
    </r>
    <r>
      <rPr>
        <sz val="9"/>
        <color rgb="FF888888"/>
        <rFont val="Arial"/>
        <family val="2"/>
      </rPr>
      <t>[KPI]=</t>
    </r>
    <r>
      <rPr>
        <sz val="9"/>
        <color rgb="FF888888"/>
        <rFont val="Noto Sans CJK SC"/>
        <family val="2"/>
      </rPr>
      <t>紐づく</t>
    </r>
    <r>
      <rPr>
        <sz val="9"/>
        <color rgb="FF888888"/>
        <rFont val="Arial"/>
        <family val="2"/>
      </rPr>
      <t>KPI</t>
    </r>
    <r>
      <rPr>
        <sz val="9"/>
        <color rgb="FF888888"/>
        <rFont val="Noto Sans CJK SC"/>
        <family val="2"/>
      </rPr>
      <t>番号</t>
    </r>
  </si>
  <si>
    <t>チャネル</t>
  </si>
  <si>
    <t>活動内容 / [紐づくKPI]</t>
  </si>
  <si>
    <r>
      <rPr>
        <sz val="9"/>
        <color rgb="FF2C3E50"/>
        <rFont val="Arial"/>
        <family val="2"/>
      </rPr>
      <t>DM</t>
    </r>
    <r>
      <rPr>
        <sz val="9"/>
        <color rgb="FF2C3E50"/>
        <rFont val="Noto Sans CJK SC"/>
        <family val="2"/>
      </rPr>
      <t xml:space="preserve">送付・リスト作成
</t>
    </r>
    <r>
      <rPr>
        <sz val="9"/>
        <color rgb="FF2C3E50"/>
        <rFont val="Arial"/>
        <family val="2"/>
      </rPr>
      <t>[①</t>
    </r>
    <r>
      <rPr>
        <sz val="9"/>
        <color rgb="FF2C3E50"/>
        <rFont val="Noto Sans CJK SC"/>
        <family val="2"/>
      </rPr>
      <t>取扱企業数</t>
    </r>
    <r>
      <rPr>
        <sz val="9"/>
        <color rgb="FF2C3E50"/>
        <rFont val="Arial"/>
        <family val="2"/>
      </rPr>
      <t>]</t>
    </r>
  </si>
  <si>
    <t>🔴リスト100件</t>
  </si>
  <si>
    <t>🔴送付100件</t>
  </si>
  <si>
    <t>🔴送付200件</t>
  </si>
  <si>
    <t>○フォロー</t>
  </si>
  <si>
    <t>🟡追加50件</t>
  </si>
  <si>
    <t>○</t>
  </si>
  <si>
    <t>-</t>
  </si>
  <si>
    <t>訪問・商談
[②発注数]</t>
  </si>
  <si>
    <r>
      <rPr>
        <sz val="9"/>
        <color rgb="FF2C3E50"/>
        <rFont val="Arial"/>
        <family val="2"/>
      </rPr>
      <t>○3</t>
    </r>
    <r>
      <rPr>
        <sz val="9"/>
        <color rgb="FF2C3E50"/>
        <rFont val="Noto Sans CJK SC"/>
        <family val="2"/>
      </rPr>
      <t>社</t>
    </r>
  </si>
  <si>
    <r>
      <rPr>
        <sz val="9"/>
        <color rgb="FF2C3E50"/>
        <rFont val="Arial"/>
        <family val="2"/>
      </rPr>
      <t>🔴5</t>
    </r>
    <r>
      <rPr>
        <sz val="9"/>
        <color rgb="FF2C3E50"/>
        <rFont val="Noto Sans CJK SC"/>
        <family val="2"/>
      </rPr>
      <t>社</t>
    </r>
  </si>
  <si>
    <r>
      <rPr>
        <sz val="9"/>
        <color rgb="FF2C3E50"/>
        <rFont val="Arial"/>
        <family val="2"/>
      </rPr>
      <t>🔴7</t>
    </r>
    <r>
      <rPr>
        <sz val="9"/>
        <color rgb="FF2C3E50"/>
        <rFont val="Noto Sans CJK SC"/>
        <family val="2"/>
      </rPr>
      <t>社</t>
    </r>
  </si>
  <si>
    <r>
      <rPr>
        <sz val="9"/>
        <color rgb="FF2C3E50"/>
        <rFont val="Arial"/>
        <family val="2"/>
      </rPr>
      <t>🟡5</t>
    </r>
    <r>
      <rPr>
        <sz val="9"/>
        <color rgb="FF2C3E50"/>
        <rFont val="Noto Sans CJK SC"/>
        <family val="2"/>
      </rPr>
      <t>社</t>
    </r>
  </si>
  <si>
    <r>
      <rPr>
        <sz val="9"/>
        <color rgb="FF2C3E50"/>
        <rFont val="Arial"/>
        <family val="2"/>
      </rPr>
      <t>○5</t>
    </r>
    <r>
      <rPr>
        <sz val="9"/>
        <color rgb="FF2C3E50"/>
        <rFont val="Noto Sans CJK SC"/>
        <family val="2"/>
      </rPr>
      <t>社</t>
    </r>
  </si>
  <si>
    <r>
      <rPr>
        <sz val="9"/>
        <color rgb="FF2C3E50"/>
        <rFont val="Arial"/>
        <family val="2"/>
      </rPr>
      <t>YouTube</t>
    </r>
    <r>
      <rPr>
        <sz val="9"/>
        <color rgb="FF2C3E50"/>
        <rFont val="Noto Sans CJK SC"/>
        <family val="2"/>
      </rPr>
      <t xml:space="preserve">動画で酒販店向け訴求
</t>
    </r>
    <r>
      <rPr>
        <sz val="9"/>
        <color rgb="FF2C3E50"/>
        <rFont val="Arial"/>
        <family val="2"/>
      </rPr>
      <t>[①②]</t>
    </r>
  </si>
  <si>
    <t>🔴動画1本</t>
  </si>
  <si>
    <t>自社EC
Amazon</t>
  </si>
  <si>
    <r>
      <rPr>
        <sz val="9"/>
        <color rgb="FF2C3E50"/>
        <rFont val="Arial"/>
        <family val="2"/>
      </rPr>
      <t>YouTube</t>
    </r>
    <r>
      <rPr>
        <sz val="9"/>
        <color rgb="FF2C3E50"/>
        <rFont val="Noto Sans CJK SC"/>
        <family val="2"/>
      </rPr>
      <t>定期投稿（週</t>
    </r>
    <r>
      <rPr>
        <sz val="9"/>
        <color rgb="FF2C3E50"/>
        <rFont val="Arial"/>
        <family val="2"/>
      </rPr>
      <t>1</t>
    </r>
    <r>
      <rPr>
        <sz val="9"/>
        <color rgb="FF2C3E50"/>
        <rFont val="Noto Sans CJK SC"/>
        <family val="2"/>
      </rPr>
      <t xml:space="preserve">本）
</t>
    </r>
    <r>
      <rPr>
        <sz val="9"/>
        <color rgb="FF2C3E50"/>
        <rFont val="Arial"/>
        <family val="2"/>
      </rPr>
      <t>[③</t>
    </r>
    <r>
      <rPr>
        <sz val="9"/>
        <color rgb="FF2C3E50"/>
        <rFont val="Noto Sans CJK SC"/>
        <family val="2"/>
      </rPr>
      <t>販売</t>
    </r>
    <r>
      <rPr>
        <sz val="9"/>
        <color rgb="FF2C3E50"/>
        <rFont val="Arial"/>
        <family val="2"/>
      </rPr>
      <t xml:space="preserve">PV / </t>
    </r>
    <r>
      <rPr>
        <sz val="9"/>
        <color rgb="FF2C3E50"/>
        <rFont val="Noto Sans CJK SC"/>
        <family val="2"/>
      </rPr>
      <t>追④</t>
    </r>
    <r>
      <rPr>
        <sz val="9"/>
        <color rgb="FF2C3E50"/>
        <rFont val="Arial"/>
        <family val="2"/>
      </rPr>
      <t>]</t>
    </r>
  </si>
  <si>
    <r>
      <rPr>
        <sz val="9"/>
        <color rgb="FF2C3E50"/>
        <rFont val="Arial"/>
        <family val="2"/>
      </rPr>
      <t>🔴1</t>
    </r>
    <r>
      <rPr>
        <sz val="9"/>
        <color rgb="FF2C3E50"/>
        <rFont val="Noto Sans CJK SC"/>
        <family val="2"/>
      </rPr>
      <t>本</t>
    </r>
  </si>
  <si>
    <r>
      <rPr>
        <sz val="9"/>
        <color rgb="FF2C3E50"/>
        <rFont val="Arial"/>
        <family val="2"/>
      </rPr>
      <t>🔴2</t>
    </r>
    <r>
      <rPr>
        <sz val="9"/>
        <color rgb="FF2C3E50"/>
        <rFont val="Noto Sans CJK SC"/>
        <family val="2"/>
      </rPr>
      <t>本</t>
    </r>
  </si>
  <si>
    <r>
      <rPr>
        <sz val="9"/>
        <color rgb="FF2C3E50"/>
        <rFont val="Arial"/>
        <family val="2"/>
      </rPr>
      <t>🔴4</t>
    </r>
    <r>
      <rPr>
        <sz val="9"/>
        <color rgb="FF2C3E50"/>
        <rFont val="Noto Sans CJK SC"/>
        <family val="2"/>
      </rPr>
      <t>本</t>
    </r>
  </si>
  <si>
    <r>
      <rPr>
        <sz val="9"/>
        <color rgb="FF2C3E50"/>
        <rFont val="Arial"/>
        <family val="2"/>
      </rPr>
      <t>Instagram</t>
    </r>
    <r>
      <rPr>
        <sz val="9"/>
        <color rgb="FF2C3E50"/>
        <rFont val="Noto Sans CJK SC"/>
        <family val="2"/>
      </rPr>
      <t>・</t>
    </r>
    <r>
      <rPr>
        <sz val="9"/>
        <color rgb="FF2C3E50"/>
        <rFont val="Arial"/>
        <family val="2"/>
      </rPr>
      <t>SNS</t>
    </r>
    <r>
      <rPr>
        <sz val="9"/>
        <color rgb="FF2C3E50"/>
        <rFont val="Noto Sans CJK SC"/>
        <family val="2"/>
      </rPr>
      <t>投稿（週</t>
    </r>
    <r>
      <rPr>
        <sz val="9"/>
        <color rgb="FF2C3E50"/>
        <rFont val="Arial"/>
        <family val="2"/>
      </rPr>
      <t>2</t>
    </r>
    <r>
      <rPr>
        <sz val="9"/>
        <color rgb="FF2C3E50"/>
        <rFont val="Noto Sans CJK SC"/>
        <family val="2"/>
      </rPr>
      <t>〜</t>
    </r>
    <r>
      <rPr>
        <sz val="9"/>
        <color rgb="FF2C3E50"/>
        <rFont val="Arial"/>
        <family val="2"/>
      </rPr>
      <t>3</t>
    </r>
    <r>
      <rPr>
        <sz val="9"/>
        <color rgb="FF2C3E50"/>
        <rFont val="Noto Sans CJK SC"/>
        <family val="2"/>
      </rPr>
      <t xml:space="preserve">回）
</t>
    </r>
    <r>
      <rPr>
        <sz val="9"/>
        <color rgb="FF2C3E50"/>
        <rFont val="Arial"/>
        <family val="2"/>
      </rPr>
      <t>[③</t>
    </r>
    <r>
      <rPr>
        <sz val="9"/>
        <color rgb="FF2C3E50"/>
        <rFont val="Noto Sans CJK SC"/>
        <family val="2"/>
      </rPr>
      <t>追①クチコミ流入</t>
    </r>
    <r>
      <rPr>
        <sz val="9"/>
        <color rgb="FF2C3E50"/>
        <rFont val="Arial"/>
        <family val="2"/>
      </rPr>
      <t>]</t>
    </r>
  </si>
  <si>
    <r>
      <rPr>
        <sz val="9"/>
        <color rgb="FF2C3E50"/>
        <rFont val="Arial"/>
        <family val="2"/>
      </rPr>
      <t>○8</t>
    </r>
    <r>
      <rPr>
        <sz val="9"/>
        <color rgb="FF2C3E50"/>
        <rFont val="Noto Sans CJK SC"/>
        <family val="2"/>
      </rPr>
      <t>回</t>
    </r>
  </si>
  <si>
    <r>
      <rPr>
        <sz val="9"/>
        <color rgb="FF2C3E50"/>
        <rFont val="Arial"/>
        <family val="2"/>
      </rPr>
      <t>○12</t>
    </r>
    <r>
      <rPr>
        <sz val="9"/>
        <color rgb="FF2C3E50"/>
        <rFont val="Noto Sans CJK SC"/>
        <family val="2"/>
      </rPr>
      <t>回</t>
    </r>
  </si>
  <si>
    <r>
      <rPr>
        <sz val="9"/>
        <color rgb="FF2C3E50"/>
        <rFont val="Arial"/>
        <family val="2"/>
      </rPr>
      <t>SEO</t>
    </r>
    <r>
      <rPr>
        <sz val="9"/>
        <color rgb="FF2C3E50"/>
        <rFont val="Noto Sans CJK SC"/>
        <family val="2"/>
      </rPr>
      <t>対策・酒器</t>
    </r>
    <r>
      <rPr>
        <sz val="9"/>
        <color rgb="FF2C3E50"/>
        <rFont val="Arial"/>
        <family val="2"/>
      </rPr>
      <t>KW</t>
    </r>
    <r>
      <rPr>
        <sz val="9"/>
        <color rgb="FF2C3E50"/>
        <rFont val="Noto Sans CJK SC"/>
        <family val="2"/>
      </rPr>
      <t xml:space="preserve">ページ改善
</t>
    </r>
    <r>
      <rPr>
        <sz val="9"/>
        <color rgb="FF2C3E50"/>
        <rFont val="Arial"/>
        <family val="2"/>
      </rPr>
      <t xml:space="preserve">[③④ / </t>
    </r>
    <r>
      <rPr>
        <sz val="9"/>
        <color rgb="FF2C3E50"/>
        <rFont val="Noto Sans CJK SC"/>
        <family val="2"/>
      </rPr>
      <t>追①検索流入</t>
    </r>
    <r>
      <rPr>
        <sz val="9"/>
        <color rgb="FF2C3E50"/>
        <rFont val="Arial"/>
        <family val="2"/>
      </rPr>
      <t>]</t>
    </r>
  </si>
  <si>
    <t>🔴構造改善</t>
  </si>
  <si>
    <t>🔴内部SEO</t>
  </si>
  <si>
    <t>🔴コンテンツ追加</t>
  </si>
  <si>
    <t>🟡見直し</t>
  </si>
  <si>
    <t>リスティング広告（グラス酒器KW）
[③④]</t>
  </si>
  <si>
    <t>🔴開始</t>
  </si>
  <si>
    <t>🔴最適化</t>
  </si>
  <si>
    <t>🔴強化</t>
  </si>
  <si>
    <t>サイト改善・TOPページCTA最適化
[④ CTR / ⑤CVR]</t>
  </si>
  <si>
    <r>
      <rPr>
        <sz val="9"/>
        <color rgb="FF2C3E50"/>
        <rFont val="Arial"/>
        <family val="2"/>
      </rPr>
      <t>🔴LP</t>
    </r>
    <r>
      <rPr>
        <sz val="9"/>
        <color rgb="FF2C3E50"/>
        <rFont val="Noto Sans CJK SC"/>
        <family val="2"/>
      </rPr>
      <t>改修</t>
    </r>
  </si>
  <si>
    <r>
      <rPr>
        <sz val="9"/>
        <color rgb="FF2C3E50"/>
        <rFont val="Arial"/>
        <family val="2"/>
      </rPr>
      <t>🔴CTA</t>
    </r>
    <r>
      <rPr>
        <sz val="9"/>
        <color rgb="FF2C3E50"/>
        <rFont val="Noto Sans CJK SC"/>
        <family val="2"/>
      </rPr>
      <t>改善</t>
    </r>
  </si>
  <si>
    <r>
      <rPr>
        <sz val="9"/>
        <color rgb="FF2C3E50"/>
        <rFont val="Arial"/>
        <family val="2"/>
      </rPr>
      <t>🟡AB</t>
    </r>
    <r>
      <rPr>
        <sz val="9"/>
        <color rgb="FF2C3E50"/>
        <rFont val="Noto Sans CJK SC"/>
        <family val="2"/>
      </rPr>
      <t>検証</t>
    </r>
  </si>
  <si>
    <r>
      <rPr>
        <sz val="9"/>
        <color rgb="FF2C3E50"/>
        <rFont val="Arial"/>
        <family val="2"/>
      </rPr>
      <t>🔴CVR</t>
    </r>
    <r>
      <rPr>
        <sz val="9"/>
        <color rgb="FF2C3E50"/>
        <rFont val="Noto Sans CJK SC"/>
        <family val="2"/>
      </rPr>
      <t>改善</t>
    </r>
  </si>
  <si>
    <r>
      <rPr>
        <sz val="9"/>
        <color rgb="FF2C3E50"/>
        <rFont val="Arial"/>
        <family val="2"/>
      </rPr>
      <t>Amazon</t>
    </r>
    <r>
      <rPr>
        <sz val="9"/>
        <color rgb="FF2C3E50"/>
        <rFont val="Noto Sans CJK SC"/>
        <family val="2"/>
      </rPr>
      <t xml:space="preserve">商品ページ最適化・広告
</t>
    </r>
    <r>
      <rPr>
        <sz val="9"/>
        <color rgb="FF2C3E50"/>
        <rFont val="Arial"/>
        <family val="2"/>
      </rPr>
      <t>[Amazon</t>
    </r>
    <r>
      <rPr>
        <sz val="9"/>
        <color rgb="FF2C3E50"/>
        <rFont val="Noto Sans CJK SC"/>
        <family val="2"/>
      </rPr>
      <t>売上</t>
    </r>
    <r>
      <rPr>
        <sz val="9"/>
        <color rgb="FF2C3E50"/>
        <rFont val="Arial"/>
        <family val="2"/>
      </rPr>
      <t>]</t>
    </r>
  </si>
  <si>
    <t>🔴画像刷新</t>
  </si>
  <si>
    <t>🔴タイトル/説明改善</t>
  </si>
  <si>
    <t>🔴広告開始</t>
  </si>
  <si>
    <t>🟡年末対応</t>
  </si>
  <si>
    <r>
      <rPr>
        <sz val="9"/>
        <color rgb="FF2C3E50"/>
        <rFont val="Arial"/>
        <family val="2"/>
      </rPr>
      <t>MAKUAKE</t>
    </r>
    <r>
      <rPr>
        <sz val="9"/>
        <color rgb="FF2C3E50"/>
        <rFont val="Noto Sans CJK SC"/>
        <family val="2"/>
      </rPr>
      <t xml:space="preserve">キャンペーン準備・実施
</t>
    </r>
    <r>
      <rPr>
        <sz val="9"/>
        <color rgb="FF2C3E50"/>
        <rFont val="Arial"/>
        <family val="2"/>
      </rPr>
      <t>[MAKUAKE</t>
    </r>
    <r>
      <rPr>
        <sz val="9"/>
        <color rgb="FF2C3E50"/>
        <rFont val="Noto Sans CJK SC"/>
        <family val="2"/>
      </rPr>
      <t>売上</t>
    </r>
    <r>
      <rPr>
        <sz val="9"/>
        <color rgb="FF2C3E50"/>
        <rFont val="Arial"/>
        <family val="2"/>
      </rPr>
      <t>500</t>
    </r>
    <r>
      <rPr>
        <sz val="9"/>
        <color rgb="FF2C3E50"/>
        <rFont val="Noto Sans CJK SC"/>
        <family val="2"/>
      </rPr>
      <t>個</t>
    </r>
    <r>
      <rPr>
        <sz val="9"/>
        <color rgb="FF2C3E50"/>
        <rFont val="Arial"/>
        <family val="2"/>
      </rPr>
      <t>×2</t>
    </r>
    <r>
      <rPr>
        <sz val="9"/>
        <color rgb="FF2C3E50"/>
        <rFont val="Noto Sans CJK SC"/>
        <family val="2"/>
      </rPr>
      <t>回</t>
    </r>
    <r>
      <rPr>
        <sz val="9"/>
        <color rgb="FF2C3E50"/>
        <rFont val="Arial"/>
        <family val="2"/>
      </rPr>
      <t>]</t>
    </r>
  </si>
  <si>
    <t>🔴準備開始</t>
  </si>
  <si>
    <r>
      <rPr>
        <sz val="9"/>
        <color rgb="FF2C3E50"/>
        <rFont val="Arial"/>
        <family val="2"/>
      </rPr>
      <t>🔴LP</t>
    </r>
    <r>
      <rPr>
        <sz val="9"/>
        <color rgb="FF2C3E50"/>
        <rFont val="Noto Sans CJK SC"/>
        <family val="2"/>
      </rPr>
      <t>制作</t>
    </r>
    <r>
      <rPr>
        <sz val="9"/>
        <color rgb="FF2C3E50"/>
        <rFont val="Arial"/>
        <family val="2"/>
      </rPr>
      <t>/</t>
    </r>
    <r>
      <rPr>
        <sz val="9"/>
        <color rgb="FF2C3E50"/>
        <rFont val="Noto Sans CJK SC"/>
        <family val="2"/>
      </rPr>
      <t>審査</t>
    </r>
  </si>
  <si>
    <t>🔴公開・実施</t>
  </si>
  <si>
    <t>🔴フォロー</t>
  </si>
  <si>
    <t>🔴第2回公開</t>
  </si>
  <si>
    <t>🟡実績まとめ</t>
  </si>
  <si>
    <r>
      <rPr>
        <sz val="9"/>
        <color rgb="FF2C3E50"/>
        <rFont val="Arial"/>
        <family val="2"/>
      </rPr>
      <t>MAKUAKE</t>
    </r>
    <r>
      <rPr>
        <sz val="9"/>
        <color rgb="FF2C3E50"/>
        <rFont val="Noto Sans CJK SC"/>
        <family val="2"/>
      </rPr>
      <t>リターン配送・顧客フォロー</t>
    </r>
  </si>
  <si>
    <t>🔴配送/フォロー</t>
  </si>
  <si>
    <t>外販先（エルスタイル等）商談・発注促進
[外販売上]</t>
  </si>
  <si>
    <t>🔴新規提案</t>
  </si>
  <si>
    <t>🔴展示会対応</t>
  </si>
  <si>
    <t>🟡追加提案</t>
  </si>
  <si>
    <t>新規外販先の開拓
[外販売上拡大]</t>
  </si>
  <si>
    <t>🔴リスト作成</t>
  </si>
  <si>
    <r>
      <rPr>
        <sz val="9"/>
        <color rgb="FF2C3E50"/>
        <rFont val="Arial"/>
        <family val="2"/>
      </rPr>
      <t>🔴DM</t>
    </r>
    <r>
      <rPr>
        <sz val="9"/>
        <color rgb="FF2C3E50"/>
        <rFont val="Noto Sans CJK SC"/>
        <family val="2"/>
      </rPr>
      <t>送付</t>
    </r>
  </si>
  <si>
    <t>🟡商談</t>
  </si>
  <si>
    <t>🟡追加DM</t>
  </si>
  <si>
    <t>インスタDM・メール営業
[⑦アプローチ数]</t>
  </si>
  <si>
    <r>
      <rPr>
        <sz val="9"/>
        <color rgb="FF2C3E50"/>
        <rFont val="Arial"/>
        <family val="2"/>
      </rPr>
      <t>🔴10</t>
    </r>
    <r>
      <rPr>
        <sz val="9"/>
        <color rgb="FF2C3E50"/>
        <rFont val="Noto Sans CJK SC"/>
        <family val="2"/>
      </rPr>
      <t>件</t>
    </r>
  </si>
  <si>
    <r>
      <rPr>
        <sz val="9"/>
        <color rgb="FF2C3E50"/>
        <rFont val="Arial"/>
        <family val="2"/>
      </rPr>
      <t>🔴15</t>
    </r>
    <r>
      <rPr>
        <sz val="9"/>
        <color rgb="FF2C3E50"/>
        <rFont val="Noto Sans CJK SC"/>
        <family val="2"/>
      </rPr>
      <t>件</t>
    </r>
  </si>
  <si>
    <r>
      <rPr>
        <sz val="9"/>
        <color rgb="FF2C3E50"/>
        <rFont val="Arial"/>
        <family val="2"/>
      </rPr>
      <t>🔴20</t>
    </r>
    <r>
      <rPr>
        <sz val="9"/>
        <color rgb="FF2C3E50"/>
        <rFont val="Noto Sans CJK SC"/>
        <family val="2"/>
      </rPr>
      <t>件</t>
    </r>
  </si>
  <si>
    <r>
      <rPr>
        <sz val="9"/>
        <color rgb="FF2C3E50"/>
        <rFont val="Arial"/>
        <family val="2"/>
      </rPr>
      <t>○15</t>
    </r>
    <r>
      <rPr>
        <sz val="9"/>
        <color rgb="FF2C3E50"/>
        <rFont val="Noto Sans CJK SC"/>
        <family val="2"/>
      </rPr>
      <t>件</t>
    </r>
  </si>
  <si>
    <r>
      <rPr>
        <sz val="9"/>
        <color rgb="FF2C3E50"/>
        <rFont val="Arial"/>
        <family val="2"/>
      </rPr>
      <t>○10</t>
    </r>
    <r>
      <rPr>
        <sz val="9"/>
        <color rgb="FF2C3E50"/>
        <rFont val="Noto Sans CJK SC"/>
        <family val="2"/>
      </rPr>
      <t>件</t>
    </r>
  </si>
  <si>
    <t>導入店舗フォロー・追加発注促進
[⑧注文数/⑨導入点数]</t>
  </si>
  <si>
    <t>🟡初回フォロー</t>
  </si>
  <si>
    <t>🟡年末促進</t>
  </si>
  <si>
    <t>体験→EC誘導QRカード設置
[E→EC流入 新規計測]</t>
  </si>
  <si>
    <r>
      <rPr>
        <sz val="9"/>
        <color rgb="FF2C3E50"/>
        <rFont val="Arial"/>
        <family val="2"/>
      </rPr>
      <t>🔴QR</t>
    </r>
    <r>
      <rPr>
        <sz val="9"/>
        <color rgb="FF2C3E50"/>
        <rFont val="Noto Sans CJK SC"/>
        <family val="2"/>
      </rPr>
      <t>カード制作</t>
    </r>
  </si>
  <si>
    <t>🔴全導入店に設置</t>
  </si>
  <si>
    <t>🟡効果検証</t>
  </si>
  <si>
    <t>購入後体験</t>
  </si>
  <si>
    <t>購入後メール・レビュー依頼自動化
[⑩UGC+レビュー]</t>
  </si>
  <si>
    <t>🔴メール設計</t>
  </si>
  <si>
    <t>🔴自動化設定</t>
  </si>
  <si>
    <t>🟡改善</t>
  </si>
  <si>
    <r>
      <rPr>
        <sz val="9"/>
        <color rgb="FF2C3E50"/>
        <rFont val="Arial"/>
        <family val="2"/>
      </rPr>
      <t>SNS</t>
    </r>
    <r>
      <rPr>
        <sz val="9"/>
        <color rgb="FF2C3E50"/>
        <rFont val="Noto Sans CJK SC"/>
        <family val="2"/>
      </rPr>
      <t>タグ付き投稿促進・</t>
    </r>
    <r>
      <rPr>
        <sz val="9"/>
        <color rgb="FF2C3E50"/>
        <rFont val="Arial"/>
        <family val="2"/>
      </rPr>
      <t>UGC</t>
    </r>
    <r>
      <rPr>
        <sz val="9"/>
        <color rgb="FF2C3E50"/>
        <rFont val="Noto Sans CJK SC"/>
        <family val="2"/>
      </rPr>
      <t xml:space="preserve">収集
</t>
    </r>
    <r>
      <rPr>
        <sz val="9"/>
        <color rgb="FF2C3E50"/>
        <rFont val="Arial"/>
        <family val="2"/>
      </rPr>
      <t>[⑩ / D</t>
    </r>
    <r>
      <rPr>
        <sz val="9"/>
        <color rgb="FF2C3E50"/>
        <rFont val="Noto Sans CJK SC"/>
        <family val="2"/>
      </rPr>
      <t>クチコミ</t>
    </r>
    <r>
      <rPr>
        <sz val="9"/>
        <color rgb="FF2C3E50"/>
        <rFont val="Arial"/>
        <family val="2"/>
      </rPr>
      <t>]</t>
    </r>
  </si>
  <si>
    <t>🔴ハッシュタグ設計</t>
  </si>
  <si>
    <t>🔴キャンペーン</t>
  </si>
  <si>
    <t>🟡企画</t>
  </si>
  <si>
    <t>計測
GA整備</t>
  </si>
  <si>
    <r>
      <rPr>
        <sz val="9"/>
        <color rgb="FF2C3E50"/>
        <rFont val="Arial"/>
        <family val="2"/>
      </rPr>
      <t>GAE</t>
    </r>
    <r>
      <rPr>
        <sz val="9"/>
        <color rgb="FF2C3E50"/>
        <rFont val="Noto Sans CJK SC"/>
        <family val="2"/>
      </rPr>
      <t>コマース計測・</t>
    </r>
    <r>
      <rPr>
        <sz val="9"/>
        <color rgb="FF2C3E50"/>
        <rFont val="Arial"/>
        <family val="2"/>
      </rPr>
      <t>UTM</t>
    </r>
    <r>
      <rPr>
        <sz val="9"/>
        <color rgb="FF2C3E50"/>
        <rFont val="Noto Sans CJK SC"/>
        <family val="2"/>
      </rPr>
      <t xml:space="preserve">パラメータ設定
</t>
    </r>
    <r>
      <rPr>
        <sz val="9"/>
        <color rgb="FF2C3E50"/>
        <rFont val="Arial"/>
        <family val="2"/>
      </rPr>
      <t>[③④⑤</t>
    </r>
    <r>
      <rPr>
        <sz val="9"/>
        <color rgb="FF2C3E50"/>
        <rFont val="Noto Sans CJK SC"/>
        <family val="2"/>
      </rPr>
      <t>の計測基盤</t>
    </r>
    <r>
      <rPr>
        <sz val="9"/>
        <color rgb="FF2C3E50"/>
        <rFont val="Arial"/>
        <family val="2"/>
      </rPr>
      <t>]</t>
    </r>
  </si>
  <si>
    <t>🔴設定完了</t>
  </si>
  <si>
    <t>🔴検証</t>
  </si>
  <si>
    <t>○運用</t>
  </si>
  <si>
    <t>🟡棚卸し</t>
  </si>
  <si>
    <t>月次KPIレポート作成・振り返り
[全KPI]</t>
  </si>
  <si>
    <t>○初回</t>
  </si>
  <si>
    <r>
      <rPr>
        <sz val="9"/>
        <color rgb="FF2C3E50"/>
        <rFont val="Arial"/>
        <family val="2"/>
      </rPr>
      <t>🔴Q1</t>
    </r>
    <r>
      <rPr>
        <sz val="9"/>
        <color rgb="FF2C3E50"/>
        <rFont val="Noto Sans CJK SC"/>
        <family val="2"/>
      </rPr>
      <t>振返</t>
    </r>
  </si>
  <si>
    <r>
      <rPr>
        <sz val="9"/>
        <color rgb="FF2C3E50"/>
        <rFont val="Arial"/>
        <family val="2"/>
      </rPr>
      <t>🔴Q2</t>
    </r>
    <r>
      <rPr>
        <sz val="9"/>
        <color rgb="FF2C3E50"/>
        <rFont val="Noto Sans CJK SC"/>
        <family val="2"/>
      </rPr>
      <t>振返</t>
    </r>
  </si>
  <si>
    <r>
      <rPr>
        <sz val="9"/>
        <color rgb="FF2C3E50"/>
        <rFont val="Arial"/>
        <family val="2"/>
      </rPr>
      <t>🔴Q3</t>
    </r>
    <r>
      <rPr>
        <sz val="9"/>
        <color rgb="FF2C3E50"/>
        <rFont val="Noto Sans CJK SC"/>
        <family val="2"/>
      </rPr>
      <t>振返</t>
    </r>
  </si>
  <si>
    <t>🔴年次振返</t>
  </si>
  <si>
    <t>🔴 最優先実施</t>
  </si>
  <si>
    <t>🟡 実施推奨</t>
  </si>
  <si>
    <t>○ 通常実施</t>
  </si>
  <si>
    <r>
      <rPr>
        <sz val="9"/>
        <color rgb="FF2C3E50"/>
        <rFont val="Arial"/>
        <family val="2"/>
      </rPr>
      <t xml:space="preserve">- </t>
    </r>
    <r>
      <rPr>
        <sz val="9"/>
        <color rgb="FF2C3E50"/>
        <rFont val="Noto Sans CJK SC"/>
        <family val="2"/>
      </rPr>
      <t>活動なし</t>
    </r>
  </si>
  <si>
    <r>
      <rPr>
        <b/>
        <sz val="11"/>
        <color rgb="FFFFFFFF"/>
        <rFont val="Calibri"/>
        <family val="2"/>
      </rPr>
      <t>── 25</t>
    </r>
    <r>
      <rPr>
        <b/>
        <sz val="11"/>
        <color rgb="FFFFFFFF"/>
        <rFont val="Noto Sans CJK SC"/>
        <family val="2"/>
      </rPr>
      <t>年</t>
    </r>
    <r>
      <rPr>
        <b/>
        <sz val="11"/>
        <color rgb="FFFFFFFF"/>
        <rFont val="Calibri"/>
        <family val="2"/>
      </rPr>
      <t>1</t>
    </r>
    <r>
      <rPr>
        <b/>
        <sz val="11"/>
        <color rgb="FFFFFFFF"/>
        <rFont val="Noto Sans CJK SC"/>
        <family val="2"/>
      </rPr>
      <t>月〜</t>
    </r>
    <r>
      <rPr>
        <b/>
        <sz val="11"/>
        <color rgb="FFFFFFFF"/>
        <rFont val="Calibri"/>
        <family val="2"/>
      </rPr>
      <t>26</t>
    </r>
    <r>
      <rPr>
        <b/>
        <sz val="11"/>
        <color rgb="FFFFFFFF"/>
        <rFont val="Noto Sans CJK SC"/>
        <family val="2"/>
      </rPr>
      <t>年</t>
    </r>
    <r>
      <rPr>
        <b/>
        <sz val="11"/>
        <color rgb="FFFFFFFF"/>
        <rFont val="Calibri"/>
        <family val="2"/>
      </rPr>
      <t>2</t>
    </r>
    <r>
      <rPr>
        <b/>
        <sz val="11"/>
        <color rgb="FFFFFFFF"/>
        <rFont val="Noto Sans CJK SC"/>
        <family val="2"/>
      </rPr>
      <t>月 月次レベシェア実績（全</t>
    </r>
    <r>
      <rPr>
        <b/>
        <sz val="11"/>
        <color rgb="FFFFFFFF"/>
        <rFont val="Calibri"/>
        <family val="2"/>
      </rPr>
      <t>14</t>
    </r>
    <r>
      <rPr>
        <b/>
        <sz val="11"/>
        <color rgb="FFFFFFFF"/>
        <rFont val="Noto Sans CJK SC"/>
        <family val="2"/>
      </rPr>
      <t>ヶ月）──</t>
    </r>
  </si>
  <si>
    <t>※出所：各月「SHUWAN販売_レヴェニューシェア」ファイル（11月〜）/ 1〜10月は_見直し_ファイル。※26年1月確定実績598,472円（旧見込2,120,000円から大幅下方修正）</t>
  </si>
  <si>
    <t>月</t>
  </si>
  <si>
    <t>酒販店・酒蔵
（レベシェア利益）</t>
  </si>
  <si>
    <t>自社EC・Amazon
（レベシェア利益）</t>
  </si>
  <si>
    <t>その他
（外販・料飲店）</t>
  </si>
  <si>
    <t>合計
（レベシェア利益）</t>
  </si>
  <si>
    <t>前月比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</si>
  <si>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1</t>
    </r>
    <r>
      <rPr>
        <sz val="10"/>
        <color rgb="FF1B2A4A"/>
        <rFont val="Noto Sans CJK SC"/>
        <family val="2"/>
      </rPr>
      <t>月</t>
    </r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</si>
  <si>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2</t>
    </r>
    <r>
      <rPr>
        <sz val="10"/>
        <color rgb="FF1B2A4A"/>
        <rFont val="Noto Sans CJK SC"/>
        <family val="2"/>
      </rPr>
      <t>月</t>
    </r>
  </si>
  <si>
    <t>19%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</si>
  <si>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3</t>
    </r>
    <r>
      <rPr>
        <sz val="10"/>
        <color rgb="FF1B2A4A"/>
        <rFont val="Noto Sans CJK SC"/>
        <family val="2"/>
      </rPr>
      <t>月</t>
    </r>
  </si>
  <si>
    <t>168%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</si>
  <si>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4</t>
    </r>
    <r>
      <rPr>
        <sz val="10"/>
        <color rgb="FF1B2A4A"/>
        <rFont val="Noto Sans CJK SC"/>
        <family val="2"/>
      </rPr>
      <t>月</t>
    </r>
  </si>
  <si>
    <t>203%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</si>
  <si>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5</t>
    </r>
    <r>
      <rPr>
        <sz val="10"/>
        <color rgb="FF1B2A4A"/>
        <rFont val="Noto Sans CJK SC"/>
        <family val="2"/>
      </rPr>
      <t>月</t>
    </r>
  </si>
  <si>
    <t>167%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</si>
  <si>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6</t>
    </r>
    <r>
      <rPr>
        <sz val="10"/>
        <color rgb="FF1B2A4A"/>
        <rFont val="Noto Sans CJK SC"/>
        <family val="2"/>
      </rPr>
      <t>月</t>
    </r>
  </si>
  <si>
    <t>342%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</si>
  <si>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7</t>
    </r>
    <r>
      <rPr>
        <sz val="10"/>
        <color rgb="FF1B2A4A"/>
        <rFont val="Noto Sans CJK SC"/>
        <family val="2"/>
      </rPr>
      <t>月</t>
    </r>
  </si>
  <si>
    <t>94%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</si>
  <si>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8</t>
    </r>
    <r>
      <rPr>
        <sz val="10"/>
        <color rgb="FF1B2A4A"/>
        <rFont val="Noto Sans CJK SC"/>
        <family val="2"/>
      </rPr>
      <t>月</t>
    </r>
  </si>
  <si>
    <t>117%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</si>
  <si>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9</t>
    </r>
    <r>
      <rPr>
        <sz val="10"/>
        <color rgb="FF1B2A4A"/>
        <rFont val="Noto Sans CJK SC"/>
        <family val="2"/>
      </rPr>
      <t>月</t>
    </r>
  </si>
  <si>
    <t>86%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</si>
  <si>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10</t>
    </r>
    <r>
      <rPr>
        <sz val="10"/>
        <color rgb="FF1B2A4A"/>
        <rFont val="Noto Sans CJK SC"/>
        <family val="2"/>
      </rPr>
      <t>月</t>
    </r>
  </si>
  <si>
    <t>67%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</si>
  <si>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11</t>
    </r>
    <r>
      <rPr>
        <sz val="10"/>
        <color rgb="FF1B2A4A"/>
        <rFont val="Noto Sans CJK SC"/>
        <family val="2"/>
      </rPr>
      <t>月</t>
    </r>
  </si>
  <si>
    <t>114%</t>
  </si>
  <si>
    <r>
      <rPr>
        <sz val="10"/>
        <color rgb="FF1B2A4A"/>
        <rFont val="Calibri"/>
        <family val="2"/>
      </rPr>
      <t>25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12</t>
    </r>
    <r>
      <rPr>
        <sz val="10"/>
        <color rgb="FF1B2A4A"/>
        <rFont val="Noto Sans CJK SC"/>
        <family val="2"/>
      </rPr>
      <t>月</t>
    </r>
  </si>
  <si>
    <t>223%</t>
  </si>
  <si>
    <r>
      <rPr>
        <sz val="10"/>
        <color rgb="FF1B2A4A"/>
        <rFont val="Calibri"/>
        <family val="2"/>
      </rPr>
      <t>26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1</t>
    </r>
    <r>
      <rPr>
        <sz val="10"/>
        <color rgb="FF1B2A4A"/>
        <rFont val="Noto Sans CJK SC"/>
        <family val="2"/>
      </rPr>
      <t>月</t>
    </r>
  </si>
  <si>
    <t>80%</t>
  </si>
  <si>
    <r>
      <rPr>
        <sz val="10"/>
        <color rgb="FF1B2A4A"/>
        <rFont val="Calibri"/>
        <family val="2"/>
      </rPr>
      <t>26</t>
    </r>
    <r>
      <rPr>
        <sz val="10"/>
        <color rgb="FF1B2A4A"/>
        <rFont val="Noto Sans CJK SC"/>
        <family val="2"/>
      </rPr>
      <t>年</t>
    </r>
    <r>
      <rPr>
        <sz val="10"/>
        <color rgb="FF1B2A4A"/>
        <rFont val="Calibri"/>
        <family val="2"/>
      </rPr>
      <t>2</t>
    </r>
    <r>
      <rPr>
        <sz val="10"/>
        <color rgb="FF1B2A4A"/>
        <rFont val="Noto Sans CJK SC"/>
        <family val="2"/>
      </rPr>
      <t>月</t>
    </r>
  </si>
  <si>
    <t>89%</t>
  </si>
  <si>
    <t>★最新</t>
  </si>
  <si>
    <t>合計（14ヶ月）</t>
  </si>
  <si>
    <r>
      <rPr>
        <b/>
        <sz val="11"/>
        <color rgb="FFFFFFFF"/>
        <rFont val="Calibri"/>
        <family val="2"/>
      </rPr>
      <t>── 25</t>
    </r>
    <r>
      <rPr>
        <b/>
        <sz val="11"/>
        <color rgb="FFFFFFFF"/>
        <rFont val="Noto Sans CJK SC"/>
        <family val="2"/>
      </rPr>
      <t>年</t>
    </r>
    <r>
      <rPr>
        <b/>
        <sz val="11"/>
        <color rgb="FFFFFFFF"/>
        <rFont val="Calibri"/>
        <family val="2"/>
      </rPr>
      <t>10</t>
    </r>
    <r>
      <rPr>
        <b/>
        <sz val="11"/>
        <color rgb="FFFFFFFF"/>
        <rFont val="Noto Sans CJK SC"/>
        <family val="2"/>
      </rPr>
      <t>月 ──</t>
    </r>
  </si>
  <si>
    <t>　酒販店　販売数量</t>
  </si>
  <si>
    <t>　自社EC　販売数量</t>
  </si>
  <si>
    <t>　Amazon　販売数量</t>
  </si>
  <si>
    <t>　外販　販売数量</t>
  </si>
  <si>
    <t>　MAKUAKE　販売数量</t>
  </si>
  <si>
    <t>　　└ レベニューシェア利益（チャネル別）</t>
  </si>
  <si>
    <t>　酒販店</t>
  </si>
  <si>
    <t>レベシェア</t>
  </si>
  <si>
    <t>　自社EC</t>
  </si>
  <si>
    <t>　Amazon</t>
  </si>
  <si>
    <t>　外販</t>
  </si>
  <si>
    <t>　MAKUAKE</t>
  </si>
  <si>
    <t>　料飲店</t>
  </si>
  <si>
    <t>レベシェア合計</t>
  </si>
  <si>
    <r>
      <rPr>
        <b/>
        <sz val="11"/>
        <color rgb="FFFFFFFF"/>
        <rFont val="Calibri"/>
        <family val="2"/>
      </rPr>
      <t>── 25</t>
    </r>
    <r>
      <rPr>
        <b/>
        <sz val="11"/>
        <color rgb="FFFFFFFF"/>
        <rFont val="Noto Sans CJK SC"/>
        <family val="2"/>
      </rPr>
      <t>年</t>
    </r>
    <r>
      <rPr>
        <b/>
        <sz val="11"/>
        <color rgb="FFFFFFFF"/>
        <rFont val="Calibri"/>
        <family val="2"/>
      </rPr>
      <t>11</t>
    </r>
    <r>
      <rPr>
        <b/>
        <sz val="11"/>
        <color rgb="FFFFFFFF"/>
        <rFont val="Noto Sans CJK SC"/>
        <family val="2"/>
      </rPr>
      <t>月 ──</t>
    </r>
  </si>
  <si>
    <t>　料飲店　販売数量</t>
  </si>
  <si>
    <r>
      <rPr>
        <b/>
        <sz val="11"/>
        <color rgb="FFFFFFFF"/>
        <rFont val="Calibri"/>
        <family val="2"/>
      </rPr>
      <t>── 25</t>
    </r>
    <r>
      <rPr>
        <b/>
        <sz val="11"/>
        <color rgb="FFFFFFFF"/>
        <rFont val="Noto Sans CJK SC"/>
        <family val="2"/>
      </rPr>
      <t>年</t>
    </r>
    <r>
      <rPr>
        <b/>
        <sz val="11"/>
        <color rgb="FFFFFFFF"/>
        <rFont val="Calibri"/>
        <family val="2"/>
      </rPr>
      <t>12</t>
    </r>
    <r>
      <rPr>
        <b/>
        <sz val="11"/>
        <color rgb="FFFFFFFF"/>
        <rFont val="Noto Sans CJK SC"/>
        <family val="2"/>
      </rPr>
      <t>月 ──</t>
    </r>
  </si>
  <si>
    <r>
      <rPr>
        <b/>
        <sz val="11"/>
        <color rgb="FFFFFFFF"/>
        <rFont val="Calibri"/>
        <family val="2"/>
      </rPr>
      <t>── 26</t>
    </r>
    <r>
      <rPr>
        <b/>
        <sz val="11"/>
        <color rgb="FFFFFFFF"/>
        <rFont val="Noto Sans CJK SC"/>
        <family val="2"/>
      </rPr>
      <t>年</t>
    </r>
    <r>
      <rPr>
        <b/>
        <sz val="11"/>
        <color rgb="FFFFFFFF"/>
        <rFont val="Calibri"/>
        <family val="2"/>
      </rPr>
      <t>1</t>
    </r>
    <r>
      <rPr>
        <b/>
        <sz val="11"/>
        <color rgb="FFFFFFFF"/>
        <rFont val="Noto Sans CJK SC"/>
        <family val="2"/>
      </rPr>
      <t>月 ── ※クランド大口含む見込</t>
    </r>
  </si>
  <si>
    <r>
      <rPr>
        <b/>
        <sz val="12"/>
        <color rgb="FFFFFFFF"/>
        <rFont val="Arial"/>
        <family val="2"/>
      </rPr>
      <t xml:space="preserve">SHUWAN </t>
    </r>
    <r>
      <rPr>
        <b/>
        <sz val="12"/>
        <color rgb="FFFFFFFF"/>
        <rFont val="Noto Sans CJK SC"/>
        <family val="2"/>
      </rPr>
      <t>月次</t>
    </r>
    <r>
      <rPr>
        <b/>
        <sz val="12"/>
        <color rgb="FFFFFFFF"/>
        <rFont val="Arial"/>
        <family val="2"/>
      </rPr>
      <t>KPI</t>
    </r>
    <r>
      <rPr>
        <b/>
        <sz val="12"/>
        <color rgb="FFFFFFFF"/>
        <rFont val="Noto Sans CJK SC"/>
        <family val="2"/>
      </rPr>
      <t>実績管理台帳 ― 毎月末に入力</t>
    </r>
  </si>
  <si>
    <t>※青セル＝手動入力　黒セル＝自動計算　　赤字＝未達（目標比80%未満）　緑字＝達成（目標比100%以上）</t>
  </si>
  <si>
    <r>
      <rPr>
        <b/>
        <sz val="10"/>
        <color rgb="FFFFFFFF"/>
        <rFont val="Arial"/>
        <family val="2"/>
      </rPr>
      <t>KPI</t>
    </r>
    <r>
      <rPr>
        <b/>
        <sz val="10"/>
        <color rgb="FFFFFFFF"/>
        <rFont val="Noto Sans CJK SC"/>
        <family val="2"/>
      </rPr>
      <t>名</t>
    </r>
  </si>
  <si>
    <t>カテゴリ</t>
  </si>
  <si>
    <t>目標値</t>
  </si>
  <si>
    <t>実績値</t>
  </si>
  <si>
    <t>達成率</t>
  </si>
  <si>
    <r>
      <rPr>
        <b/>
        <sz val="11"/>
        <color rgb="FFFFFFFF"/>
        <rFont val="Arial"/>
        <family val="2"/>
      </rPr>
      <t>── 2</t>
    </r>
    <r>
      <rPr>
        <b/>
        <sz val="11"/>
        <color rgb="FFFFFFFF"/>
        <rFont val="Noto Sans CJK SC"/>
        <family val="2"/>
      </rPr>
      <t>月 ──</t>
    </r>
  </si>
  <si>
    <t>② 発注数</t>
  </si>
  <si>
    <t>件</t>
  </si>
  <si>
    <t>⑨ 導入点数（累計）</t>
  </si>
  <si>
    <t>店</t>
  </si>
  <si>
    <r>
      <rPr>
        <b/>
        <sz val="10"/>
        <color rgb="FF4A148C"/>
        <rFont val="Arial"/>
        <family val="2"/>
      </rPr>
      <t>⑩-A Instagram UGC</t>
    </r>
    <r>
      <rPr>
        <b/>
        <sz val="10"/>
        <color rgb="FF4A148C"/>
        <rFont val="Noto Sans CJK SC"/>
        <family val="2"/>
      </rPr>
      <t>数</t>
    </r>
  </si>
  <si>
    <t>購入後</t>
  </si>
  <si>
    <r>
      <rPr>
        <b/>
        <sz val="10"/>
        <color rgb="FFFF9900"/>
        <rFont val="Arial"/>
        <family val="2"/>
      </rPr>
      <t>⑩-B Amazon</t>
    </r>
    <r>
      <rPr>
        <b/>
        <sz val="10"/>
        <color rgb="FFFF9900"/>
        <rFont val="Noto Sans CJK SC"/>
        <family val="2"/>
      </rPr>
      <t>新規レビュー数</t>
    </r>
  </si>
  <si>
    <t>全体売上合計</t>
  </si>
  <si>
    <t>売上</t>
  </si>
  <si>
    <t>　 自社EC売上</t>
  </si>
  <si>
    <t>　外販売上</t>
  </si>
  <si>
    <t>── Instagram KPI ──</t>
  </si>
  <si>
    <t>　フォロワー月間増加数</t>
  </si>
  <si>
    <t>Instagram</t>
  </si>
  <si>
    <t>人</t>
  </si>
  <si>
    <t>　フォロワー転換率</t>
  </si>
  <si>
    <t>　保存数</t>
  </si>
  <si>
    <t>── レベニューシェア利益 ──</t>
  </si>
  <si>
    <t>インプレッション</t>
  </si>
  <si>
    <t>回</t>
  </si>
  <si>
    <r>
      <rPr>
        <b/>
        <sz val="11"/>
        <color rgb="FFFFFFFF"/>
        <rFont val="Arial"/>
        <family val="2"/>
      </rPr>
      <t>── 3</t>
    </r>
    <r>
      <rPr>
        <b/>
        <sz val="11"/>
        <color rgb="FFFFFFFF"/>
        <rFont val="Noto Sans CJK SC"/>
        <family val="2"/>
      </rPr>
      <t>月 ──</t>
    </r>
  </si>
  <si>
    <t>追④ 外部リンクタップ数
　（Linktree開封数）</t>
  </si>
  <si>
    <r>
      <rPr>
        <b/>
        <sz val="11"/>
        <color rgb="FFFFFFFF"/>
        <rFont val="Arial"/>
        <family val="2"/>
      </rPr>
      <t>── 4</t>
    </r>
    <r>
      <rPr>
        <b/>
        <sz val="11"/>
        <color rgb="FFFFFFFF"/>
        <rFont val="Noto Sans CJK SC"/>
        <family val="2"/>
      </rPr>
      <t>月 ──</t>
    </r>
  </si>
  <si>
    <r>
      <rPr>
        <b/>
        <sz val="11"/>
        <color rgb="FFFFFFFF"/>
        <rFont val="Arial"/>
        <family val="2"/>
      </rPr>
      <t>── 5</t>
    </r>
    <r>
      <rPr>
        <b/>
        <sz val="11"/>
        <color rgb="FFFFFFFF"/>
        <rFont val="Noto Sans CJK SC"/>
        <family val="2"/>
      </rPr>
      <t>月 ──</t>
    </r>
  </si>
  <si>
    <r>
      <rPr>
        <sz val="9"/>
        <color rgb="FFE91E63"/>
        <rFont val="Arial"/>
        <family val="2"/>
      </rPr>
      <t>UGC</t>
    </r>
    <r>
      <rPr>
        <sz val="9"/>
        <color rgb="FFE91E63"/>
        <rFont val="Noto Sans CJK SC"/>
        <family val="2"/>
      </rPr>
      <t>数</t>
    </r>
  </si>
  <si>
    <r>
      <rPr>
        <b/>
        <sz val="11"/>
        <color rgb="FFFFFFFF"/>
        <rFont val="Arial"/>
        <family val="2"/>
      </rPr>
      <t>── 6</t>
    </r>
    <r>
      <rPr>
        <b/>
        <sz val="11"/>
        <color rgb="FFFFFFFF"/>
        <rFont val="Noto Sans CJK SC"/>
        <family val="2"/>
      </rPr>
      <t>月 ──</t>
    </r>
  </si>
  <si>
    <r>
      <rPr>
        <b/>
        <sz val="10"/>
        <color rgb="FF4A148C"/>
        <rFont val="Arial"/>
        <family val="2"/>
      </rPr>
      <t>⑩ UGC+</t>
    </r>
    <r>
      <rPr>
        <b/>
        <sz val="10"/>
        <color rgb="FF4A148C"/>
        <rFont val="Noto Sans CJK SC"/>
        <family val="2"/>
      </rPr>
      <t>リポスト数</t>
    </r>
  </si>
  <si>
    <t>プロフアクセス数</t>
  </si>
  <si>
    <t>いいね数</t>
  </si>
  <si>
    <t>保存数</t>
  </si>
  <si>
    <r>
      <rPr>
        <b/>
        <sz val="11"/>
        <color rgb="FFFFFFFF"/>
        <rFont val="Arial"/>
        <family val="2"/>
      </rPr>
      <t>── 7</t>
    </r>
    <r>
      <rPr>
        <b/>
        <sz val="11"/>
        <color rgb="FFFFFFFF"/>
        <rFont val="Noto Sans CJK SC"/>
        <family val="2"/>
      </rPr>
      <t>月 ──</t>
    </r>
  </si>
  <si>
    <t>③ 販売ページPV</t>
  </si>
  <si>
    <t>PV</t>
  </si>
  <si>
    <t>⑦ 料飲店アプローチ</t>
  </si>
  <si>
    <t>合計</t>
  </si>
  <si>
    <r>
      <rPr>
        <b/>
        <sz val="11"/>
        <color rgb="FFFFFFFF"/>
        <rFont val="Arial"/>
        <family val="2"/>
      </rPr>
      <t>── 8</t>
    </r>
    <r>
      <rPr>
        <b/>
        <sz val="11"/>
        <color rgb="FFFFFFFF"/>
        <rFont val="Noto Sans CJK SC"/>
        <family val="2"/>
      </rPr>
      <t>月 ──</t>
    </r>
  </si>
  <si>
    <t>　 購入人数</t>
  </si>
  <si>
    <t>フォロワー増加数</t>
  </si>
  <si>
    <t>リーチ数</t>
  </si>
  <si>
    <t>UU</t>
  </si>
  <si>
    <r>
      <rPr>
        <b/>
        <sz val="11"/>
        <color rgb="FFFFFFFF"/>
        <rFont val="Arial"/>
        <family val="2"/>
      </rPr>
      <t>── 9</t>
    </r>
    <r>
      <rPr>
        <b/>
        <sz val="11"/>
        <color rgb="FFFFFFFF"/>
        <rFont val="Noto Sans CJK SC"/>
        <family val="2"/>
      </rPr>
      <t>月 ──</t>
    </r>
  </si>
  <si>
    <r>
      <rPr>
        <b/>
        <sz val="11"/>
        <color rgb="FFFFFFFF"/>
        <rFont val="Arial"/>
        <family val="2"/>
      </rPr>
      <t>── 10</t>
    </r>
    <r>
      <rPr>
        <b/>
        <sz val="11"/>
        <color rgb="FFFFFFFF"/>
        <rFont val="Noto Sans CJK SC"/>
        <family val="2"/>
      </rPr>
      <t>月 ──</t>
    </r>
  </si>
  <si>
    <t>⑤ CVR</t>
  </si>
  <si>
    <t>⑥ 購入碗数（EC）</t>
  </si>
  <si>
    <r>
      <rPr>
        <b/>
        <sz val="11"/>
        <color rgb="FFFFFFFF"/>
        <rFont val="Arial"/>
        <family val="2"/>
      </rPr>
      <t>── 11</t>
    </r>
    <r>
      <rPr>
        <b/>
        <sz val="11"/>
        <color rgb="FFFFFFFF"/>
        <rFont val="Noto Sans CJK SC"/>
        <family val="2"/>
      </rPr>
      <t>月 ──</t>
    </r>
  </si>
  <si>
    <r>
      <rPr>
        <b/>
        <sz val="11"/>
        <color rgb="FFFFFFFF"/>
        <rFont val="Arial"/>
        <family val="2"/>
      </rPr>
      <t>── 12</t>
    </r>
    <r>
      <rPr>
        <b/>
        <sz val="11"/>
        <color rgb="FFFFFFFF"/>
        <rFont val="Noto Sans CJK SC"/>
        <family val="2"/>
      </rPr>
      <t>月 ──</t>
    </r>
  </si>
  <si>
    <r>
      <rPr>
        <sz val="9"/>
        <color rgb="FF6A1B9A"/>
        <rFont val="Arial"/>
        <family val="2"/>
      </rPr>
      <t>⑩ UGC+</t>
    </r>
    <r>
      <rPr>
        <sz val="9"/>
        <color rgb="FF6A1B9A"/>
        <rFont val="Noto Sans CJK SC"/>
        <family val="2"/>
      </rPr>
      <t>レビュー</t>
    </r>
  </si>
  <si>
    <r>
      <rPr>
        <b/>
        <sz val="11"/>
        <color rgb="FFFFFFFF"/>
        <rFont val="Arial"/>
        <family val="2"/>
      </rPr>
      <t>── 1</t>
    </r>
    <r>
      <rPr>
        <b/>
        <sz val="11"/>
        <color rgb="FFFFFFFF"/>
        <rFont val="Noto Sans CJK SC"/>
        <family val="2"/>
      </rPr>
      <t>月 ──</t>
    </r>
  </si>
  <si>
    <t>　 酒販店売上</t>
  </si>
  <si>
    <t>売上目標 → KPI逆算ロジック 解説</t>
  </si>
  <si>
    <t>自社ECの月次売上目標から、「何PV必要か」「何人が購入すればいいか」を逆算したロジックと前提条件です。</t>
  </si>
  <si>
    <t>前提条件</t>
  </si>
  <si>
    <t>変数名</t>
  </si>
  <si>
    <t>現状値</t>
  </si>
  <si>
    <t>根拠</t>
  </si>
  <si>
    <t>平均購入碗数/人</t>
  </si>
  <si>
    <t>avg_cup</t>
  </si>
  <si>
    <r>
      <rPr>
        <sz val="10"/>
        <color rgb="FF2C3E50"/>
        <rFont val="Arial"/>
        <family val="2"/>
      </rPr>
      <t>1.83</t>
    </r>
    <r>
      <rPr>
        <sz val="10"/>
        <color rgb="FF2C3E50"/>
        <rFont val="Noto Sans CJK SC"/>
        <family val="2"/>
      </rPr>
      <t>碗</t>
    </r>
    <r>
      <rPr>
        <sz val="10"/>
        <color rgb="FF2C3E50"/>
        <rFont val="Arial"/>
        <family val="2"/>
      </rPr>
      <t>/</t>
    </r>
    <r>
      <rPr>
        <sz val="10"/>
        <color rgb="FF2C3E50"/>
        <rFont val="Noto Sans CJK SC"/>
        <family val="2"/>
      </rPr>
      <t>人</t>
    </r>
  </si>
  <si>
    <t>月間110碗÷60人から算出。向上施策は長期目標</t>
  </si>
  <si>
    <r>
      <rPr>
        <sz val="10"/>
        <color rgb="FF2C3E50"/>
        <rFont val="Arial"/>
        <family val="2"/>
      </rPr>
      <t>CVR</t>
    </r>
    <r>
      <rPr>
        <sz val="10"/>
        <color rgb="FF2C3E50"/>
        <rFont val="Noto Sans CJK SC"/>
        <family val="2"/>
      </rPr>
      <t>（購入完了率）</t>
    </r>
  </si>
  <si>
    <t>cvr</t>
  </si>
  <si>
    <t>3.5%</t>
  </si>
  <si>
    <t>5.0%</t>
  </si>
  <si>
    <t>販売ページPV→購入完了。サイト改善で達成目標</t>
  </si>
  <si>
    <r>
      <rPr>
        <sz val="10"/>
        <color rgb="FF2C3E50"/>
        <rFont val="Arial"/>
        <family val="2"/>
      </rPr>
      <t>TOP</t>
    </r>
    <r>
      <rPr>
        <sz val="10"/>
        <color rgb="FF2C3E50"/>
        <rFont val="Noto Sans CJK SC"/>
        <family val="2"/>
      </rPr>
      <t>ページ→販売ページ</t>
    </r>
    <r>
      <rPr>
        <sz val="10"/>
        <color rgb="FF2C3E50"/>
        <rFont val="Arial"/>
        <family val="2"/>
      </rPr>
      <t>CTR</t>
    </r>
  </si>
  <si>
    <t>top_ctr</t>
  </si>
  <si>
    <t>未計測</t>
  </si>
  <si>
    <t>20%</t>
  </si>
  <si>
    <r>
      <rPr>
        <sz val="10"/>
        <color rgb="FF2C3E50"/>
        <rFont val="Arial"/>
        <family val="2"/>
      </rPr>
      <t>GTM</t>
    </r>
    <r>
      <rPr>
        <sz val="10"/>
        <color rgb="FF2C3E50"/>
        <rFont val="Noto Sans CJK SC"/>
        <family val="2"/>
      </rPr>
      <t>イベント設定後に計測・最適化</t>
    </r>
  </si>
  <si>
    <t>自社EC単価</t>
  </si>
  <si>
    <t>unit_price</t>
  </si>
  <si>
    <r>
      <rPr>
        <sz val="10"/>
        <color rgb="FF2C3E50"/>
        <rFont val="Arial"/>
        <family val="2"/>
      </rPr>
      <t>3,900</t>
    </r>
    <r>
      <rPr>
        <sz val="10"/>
        <color rgb="FF2C3E50"/>
        <rFont val="Noto Sans CJK SC"/>
        <family val="2"/>
      </rPr>
      <t>円</t>
    </r>
  </si>
  <si>
    <t>現状維持</t>
  </si>
  <si>
    <t>【逆算フォーミュラ】</t>
  </si>
  <si>
    <t>① 月間購入人数目標</t>
  </si>
  <si>
    <t xml:space="preserve"> 自社EC月次個数目標 ÷ 平均購入碗数/人</t>
  </si>
  <si>
    <t>例）5月: 270碗 ÷ 1.83 = 148人</t>
  </si>
  <si>
    <t>② 販売ページ必要PV</t>
  </si>
  <si>
    <t xml:space="preserve"> 月間購入人数目標 ÷ CVR目標</t>
  </si>
  <si>
    <t>例）5月: 148人 ÷ 5% = 2,960 → 3,000PV</t>
  </si>
  <si>
    <r>
      <rPr>
        <b/>
        <sz val="10"/>
        <color rgb="FF1B2A4A"/>
        <rFont val="Arial"/>
        <family val="2"/>
      </rPr>
      <t>③ TOP</t>
    </r>
    <r>
      <rPr>
        <b/>
        <sz val="10"/>
        <color rgb="FF1B2A4A"/>
        <rFont val="Noto Sans CJK SC"/>
        <family val="2"/>
      </rPr>
      <t>ページ必要流入数</t>
    </r>
  </si>
  <si>
    <t xml:space="preserve"> 販売ページ必要PV ÷ TOP→販売CTR目標</t>
  </si>
  <si>
    <t>例）5月: 3,000 ÷ 20% = 15,000PV</t>
  </si>
  <si>
    <t>④ チャンネル別流入目標</t>
  </si>
  <si>
    <r>
      <rPr>
        <sz val="10"/>
        <color rgb="FF2C3E50"/>
        <rFont val="Arial"/>
        <family val="2"/>
      </rPr>
      <t xml:space="preserve"> TOP</t>
    </r>
    <r>
      <rPr>
        <sz val="10"/>
        <color rgb="FF2C3E50"/>
        <rFont val="Noto Sans CJK SC"/>
        <family val="2"/>
      </rPr>
      <t xml:space="preserve">ページ必要流入数 </t>
    </r>
    <r>
      <rPr>
        <sz val="10"/>
        <color rgb="FF2C3E50"/>
        <rFont val="Arial"/>
        <family val="2"/>
      </rPr>
      <t xml:space="preserve">× </t>
    </r>
    <r>
      <rPr>
        <sz val="10"/>
        <color rgb="FF2C3E50"/>
        <rFont val="Noto Sans CJK SC"/>
        <family val="2"/>
      </rPr>
      <t>チャネル配分比率</t>
    </r>
  </si>
  <si>
    <t>例）YouTube 30%, 検索 50%, クチコミ 20%</t>
  </si>
  <si>
    <t>【月次逆算テーブル（自社EC）】</t>
  </si>
  <si>
    <r>
      <rPr>
        <b/>
        <sz val="10"/>
        <color rgb="FFFFFFFF"/>
        <rFont val="Arial"/>
        <family val="2"/>
      </rPr>
      <t>EC</t>
    </r>
    <r>
      <rPr>
        <b/>
        <sz val="10"/>
        <color rgb="FFFFFFFF"/>
        <rFont val="Noto Sans CJK SC"/>
        <family val="2"/>
      </rPr>
      <t>個数目標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碗</t>
    </r>
    <r>
      <rPr>
        <b/>
        <sz val="10"/>
        <color rgb="FFFFFFFF"/>
        <rFont val="Arial"/>
        <family val="2"/>
      </rPr>
      <t>)</t>
    </r>
  </si>
  <si>
    <t>購入人数目標(人)</t>
  </si>
  <si>
    <t>必要販売PV</t>
  </si>
  <si>
    <t>必要TOP流入</t>
  </si>
  <si>
    <r>
      <rPr>
        <sz val="10"/>
        <color rgb="FF2C3E50"/>
        <rFont val="Arial"/>
        <family val="2"/>
      </rPr>
      <t>2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</si>
  <si>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3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</si>
  <si>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4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</si>
  <si>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5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</si>
  <si>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6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</si>
  <si>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7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</si>
  <si>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8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</si>
  <si>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9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</si>
  <si>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10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</si>
  <si>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11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</si>
  <si>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12</t>
    </r>
    <r>
      <rPr>
        <sz val="10"/>
        <color rgb="FF2C3E50"/>
        <rFont val="Noto Sans CJK SC"/>
        <family val="2"/>
      </rPr>
      <t>月</t>
    </r>
  </si>
  <si>
    <r>
      <rPr>
        <sz val="10"/>
        <color rgb="FF2C3E50"/>
        <rFont val="Arial"/>
        <family val="2"/>
      </rPr>
      <t>1</t>
    </r>
    <r>
      <rPr>
        <sz val="10"/>
        <color rgb="FF2C3E50"/>
        <rFont val="Noto Sans CJK SC"/>
        <family val="2"/>
      </rPr>
      <t>月</t>
    </r>
  </si>
  <si>
    <r>
      <rPr>
        <b/>
        <sz val="11"/>
        <color rgb="FFFFFFFF"/>
        <rFont val="Arial"/>
        <family val="2"/>
      </rPr>
      <t xml:space="preserve">SHUWAN Instagram </t>
    </r>
    <r>
      <rPr>
        <b/>
        <sz val="11"/>
        <color rgb="FFFFFFFF"/>
        <rFont val="Noto Sans CJK SC"/>
        <family val="2"/>
      </rPr>
      <t>月次傾向分析（</t>
    </r>
    <r>
      <rPr>
        <b/>
        <sz val="11"/>
        <color rgb="FFFFFFFF"/>
        <rFont val="Arial"/>
        <family val="2"/>
      </rPr>
      <t>25</t>
    </r>
    <r>
      <rPr>
        <b/>
        <sz val="11"/>
        <color rgb="FFFFFFFF"/>
        <rFont val="Noto Sans CJK SC"/>
        <family val="2"/>
      </rPr>
      <t>年</t>
    </r>
    <r>
      <rPr>
        <b/>
        <sz val="11"/>
        <color rgb="FFFFFFFF"/>
        <rFont val="Arial"/>
        <family val="2"/>
      </rPr>
      <t>6</t>
    </r>
    <r>
      <rPr>
        <b/>
        <sz val="11"/>
        <color rgb="FFFFFFFF"/>
        <rFont val="Noto Sans CJK SC"/>
        <family val="2"/>
      </rPr>
      <t>月〜</t>
    </r>
    <r>
      <rPr>
        <b/>
        <sz val="11"/>
        <color rgb="FFFFFFFF"/>
        <rFont val="Arial"/>
        <family val="2"/>
      </rPr>
      <t>26</t>
    </r>
    <r>
      <rPr>
        <b/>
        <sz val="11"/>
        <color rgb="FFFFFFFF"/>
        <rFont val="Noto Sans CJK SC"/>
        <family val="2"/>
      </rPr>
      <t>年</t>
    </r>
    <r>
      <rPr>
        <b/>
        <sz val="11"/>
        <color rgb="FFFFFFFF"/>
        <rFont val="Arial"/>
        <family val="2"/>
      </rPr>
      <t>1</t>
    </r>
    <r>
      <rPr>
        <b/>
        <sz val="11"/>
        <color rgb="FFFFFFFF"/>
        <rFont val="Noto Sans CJK SC"/>
        <family val="2"/>
      </rPr>
      <t>月）</t>
    </r>
  </si>
  <si>
    <t>【1】月次インスタKPI推移</t>
  </si>
  <si>
    <r>
      <rPr>
        <b/>
        <sz val="10"/>
        <color rgb="FFFFFFFF"/>
        <rFont val="Arial"/>
        <family val="2"/>
      </rPr>
      <t>KPI</t>
    </r>
    <r>
      <rPr>
        <b/>
        <sz val="10"/>
        <color rgb="FFFFFFFF"/>
        <rFont val="Noto Sans CJK SC"/>
        <family val="2"/>
      </rPr>
      <t>指標</t>
    </r>
  </si>
  <si>
    <t>傾向</t>
  </si>
  <si>
    <t>フォロワー数(月末)</t>
  </si>
  <si>
    <r>
      <rPr>
        <sz val="9"/>
        <color rgb="FF2C3E50"/>
        <rFont val="Arial"/>
        <family val="2"/>
      </rPr>
      <t>↑ 366→891</t>
    </r>
    <r>
      <rPr>
        <sz val="9"/>
        <color rgb="FF2C3E50"/>
        <rFont val="Noto Sans CJK SC"/>
        <family val="2"/>
      </rPr>
      <t>（</t>
    </r>
    <r>
      <rPr>
        <sz val="9"/>
        <color rgb="FF2C3E50"/>
        <rFont val="Arial"/>
        <family val="2"/>
      </rPr>
      <t>+2.4</t>
    </r>
    <r>
      <rPr>
        <sz val="9"/>
        <color rgb="FF2C3E50"/>
        <rFont val="Noto Sans CJK SC"/>
        <family val="2"/>
      </rPr>
      <t>倍）順調</t>
    </r>
  </si>
  <si>
    <t>　月間増加数</t>
  </si>
  <si>
    <r>
      <rPr>
        <sz val="9"/>
        <color rgb="FF2C3E50"/>
        <rFont val="Arial"/>
        <family val="2"/>
      </rPr>
      <t>11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25</t>
    </r>
    <r>
      <rPr>
        <sz val="9"/>
        <color rgb="FF2C3E50"/>
        <rFont val="Noto Sans CJK SC"/>
        <family val="2"/>
      </rPr>
      <t>人が最低。</t>
    </r>
    <r>
      <rPr>
        <sz val="9"/>
        <color rgb="FF2C3E50"/>
        <rFont val="Arial"/>
        <family val="2"/>
      </rPr>
      <t>8</t>
    </r>
    <r>
      <rPr>
        <sz val="9"/>
        <color rgb="FF2C3E50"/>
        <rFont val="Noto Sans CJK SC"/>
        <family val="2"/>
      </rPr>
      <t>〜</t>
    </r>
    <r>
      <rPr>
        <sz val="9"/>
        <color rgb="FF2C3E50"/>
        <rFont val="Arial"/>
        <family val="2"/>
      </rPr>
      <t>9</t>
    </r>
    <r>
      <rPr>
        <sz val="9"/>
        <color rgb="FF2C3E50"/>
        <rFont val="Noto Sans CJK SC"/>
        <family val="2"/>
      </rPr>
      <t>月ピーク</t>
    </r>
  </si>
  <si>
    <r>
      <rPr>
        <sz val="9"/>
        <color rgb="FF2C3E50"/>
        <rFont val="Arial"/>
        <family val="2"/>
      </rPr>
      <t>11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21,935→</t>
    </r>
    <r>
      <rPr>
        <sz val="9"/>
        <color rgb="FF2C3E50"/>
        <rFont val="Noto Sans CJK SC"/>
        <family val="2"/>
      </rPr>
      <t>急落。</t>
    </r>
    <r>
      <rPr>
        <sz val="9"/>
        <color rgb="FF2C3E50"/>
        <rFont val="Arial"/>
        <family val="2"/>
      </rPr>
      <t>9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51,410</t>
    </r>
    <r>
      <rPr>
        <sz val="9"/>
        <color rgb="FF2C3E50"/>
        <rFont val="Noto Sans CJK SC"/>
        <family val="2"/>
      </rPr>
      <t>が最高</t>
    </r>
  </si>
  <si>
    <r>
      <rPr>
        <sz val="9"/>
        <color rgb="FF2C3E50"/>
        <rFont val="Arial"/>
        <family val="2"/>
      </rPr>
      <t>11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979→</t>
    </r>
    <r>
      <rPr>
        <sz val="9"/>
        <color rgb="FF2C3E50"/>
        <rFont val="Noto Sans CJK SC"/>
        <family val="2"/>
      </rPr>
      <t>最低。</t>
    </r>
    <r>
      <rPr>
        <sz val="9"/>
        <color rgb="FF2C3E50"/>
        <rFont val="Arial"/>
        <family val="2"/>
      </rPr>
      <t>EC</t>
    </r>
    <r>
      <rPr>
        <sz val="9"/>
        <color rgb="FF2C3E50"/>
        <rFont val="Noto Sans CJK SC"/>
        <family val="2"/>
      </rPr>
      <t>流入源泉</t>
    </r>
  </si>
  <si>
    <t>外部リンクタップ数
（＝Linktree開封数）</t>
  </si>
  <si>
    <r>
      <rPr>
        <sz val="9"/>
        <color rgb="FF2C3E50"/>
        <rFont val="Arial"/>
        <family val="2"/>
      </rPr>
      <t>1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131</t>
    </r>
    <r>
      <rPr>
        <sz val="9"/>
        <color rgb="FF2C3E50"/>
        <rFont val="Noto Sans CJK SC"/>
        <family val="2"/>
      </rPr>
      <t>が最高。</t>
    </r>
    <r>
      <rPr>
        <sz val="9"/>
        <color rgb="FF2C3E50"/>
        <rFont val="Arial"/>
        <family val="2"/>
      </rPr>
      <t>Linktree</t>
    </r>
    <r>
      <rPr>
        <sz val="9"/>
        <color rgb="FF2C3E50"/>
        <rFont val="Noto Sans CJK SC"/>
        <family val="2"/>
      </rPr>
      <t>開封数。</t>
    </r>
    <r>
      <rPr>
        <sz val="9"/>
        <color rgb="FF2C3E50"/>
        <rFont val="Arial"/>
        <family val="2"/>
      </rPr>
      <t>EC</t>
    </r>
    <r>
      <rPr>
        <sz val="9"/>
        <color rgb="FF2C3E50"/>
        <rFont val="Noto Sans CJK SC"/>
        <family val="2"/>
      </rPr>
      <t>到達はその先のクリック次第</t>
    </r>
  </si>
  <si>
    <r>
      <rPr>
        <sz val="9"/>
        <color rgb="FF2C3E50"/>
        <rFont val="Arial"/>
        <family val="2"/>
      </rPr>
      <t>8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1,431</t>
    </r>
    <r>
      <rPr>
        <sz val="9"/>
        <color rgb="FF2C3E50"/>
        <rFont val="Noto Sans CJK SC"/>
        <family val="2"/>
      </rPr>
      <t>が最高。</t>
    </r>
    <r>
      <rPr>
        <sz val="9"/>
        <color rgb="FF2C3E50"/>
        <rFont val="Arial"/>
        <family val="2"/>
      </rPr>
      <t>9</t>
    </r>
    <r>
      <rPr>
        <sz val="9"/>
        <color rgb="FF2C3E50"/>
        <rFont val="Noto Sans CJK SC"/>
        <family val="2"/>
      </rPr>
      <t>月以降低下傾向</t>
    </r>
  </si>
  <si>
    <t>フォロワー転換率</t>
  </si>
  <si>
    <t>最高7月13%・最低11月5.7%　目標10%</t>
  </si>
  <si>
    <r>
      <rPr>
        <sz val="9"/>
        <color rgb="FF2C3E50"/>
        <rFont val="Arial"/>
        <family val="2"/>
      </rPr>
      <t>9</t>
    </r>
    <r>
      <rPr>
        <sz val="9"/>
        <color rgb="FF2C3E50"/>
        <rFont val="Noto Sans CJK SC"/>
        <family val="2"/>
      </rPr>
      <t>月以降</t>
    </r>
    <r>
      <rPr>
        <sz val="9"/>
        <color rgb="FF2C3E50"/>
        <rFont val="Arial"/>
        <family val="2"/>
      </rPr>
      <t>500</t>
    </r>
    <r>
      <rPr>
        <sz val="9"/>
        <color rgb="FF2C3E50"/>
        <rFont val="Noto Sans CJK SC"/>
        <family val="2"/>
      </rPr>
      <t>前後が定着</t>
    </r>
  </si>
  <si>
    <r>
      <rPr>
        <sz val="9"/>
        <color rgb="FF2C3E50"/>
        <rFont val="Arial"/>
        <family val="2"/>
      </rPr>
      <t>12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36</t>
    </r>
    <r>
      <rPr>
        <sz val="9"/>
        <color rgb="FF2C3E50"/>
        <rFont val="Noto Sans CJK SC"/>
        <family val="2"/>
      </rPr>
      <t>が最高→</t>
    </r>
    <r>
      <rPr>
        <sz val="9"/>
        <color rgb="FF2C3E50"/>
        <rFont val="Arial"/>
        <family val="2"/>
      </rPr>
      <t>1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17</t>
    </r>
    <r>
      <rPr>
        <sz val="9"/>
        <color rgb="FF2C3E50"/>
        <rFont val="Noto Sans CJK SC"/>
        <family val="2"/>
      </rPr>
      <t>に半減。要強化</t>
    </r>
  </si>
  <si>
    <t>エンゲージメント率</t>
  </si>
  <si>
    <r>
      <rPr>
        <sz val="9"/>
        <color rgb="FF2C3E50"/>
        <rFont val="Arial"/>
        <family val="2"/>
      </rPr>
      <t>12</t>
    </r>
    <r>
      <rPr>
        <sz val="9"/>
        <color rgb="FF2C3E50"/>
        <rFont val="Noto Sans CJK SC"/>
        <family val="2"/>
      </rPr>
      <t>月・</t>
    </r>
    <r>
      <rPr>
        <sz val="9"/>
        <color rgb="FF2C3E50"/>
        <rFont val="Arial"/>
        <family val="2"/>
      </rPr>
      <t>1</t>
    </r>
    <r>
      <rPr>
        <sz val="9"/>
        <color rgb="FF2C3E50"/>
        <rFont val="Noto Sans CJK SC"/>
        <family val="2"/>
      </rPr>
      <t>月で</t>
    </r>
    <r>
      <rPr>
        <sz val="9"/>
        <color rgb="FF2C3E50"/>
        <rFont val="Arial"/>
        <family val="2"/>
      </rPr>
      <t>20%</t>
    </r>
    <r>
      <rPr>
        <sz val="9"/>
        <color rgb="FF2C3E50"/>
        <rFont val="Noto Sans CJK SC"/>
        <family val="2"/>
      </rPr>
      <t>超に改善</t>
    </r>
  </si>
  <si>
    <t>コメント数</t>
  </si>
  <si>
    <r>
      <rPr>
        <sz val="9"/>
        <color rgb="FF2C3E50"/>
        <rFont val="Arial"/>
        <family val="2"/>
      </rPr>
      <t>9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3</t>
    </r>
    <r>
      <rPr>
        <sz val="9"/>
        <color rgb="FF2C3E50"/>
        <rFont val="Noto Sans CJK SC"/>
        <family val="2"/>
      </rPr>
      <t>件以降ほぼ</t>
    </r>
    <r>
      <rPr>
        <sz val="9"/>
        <color rgb="FF2C3E50"/>
        <rFont val="Arial"/>
        <family val="2"/>
      </rPr>
      <t>0</t>
    </r>
    <r>
      <rPr>
        <sz val="9"/>
        <color rgb="FF2C3E50"/>
        <rFont val="Noto Sans CJK SC"/>
        <family val="2"/>
      </rPr>
      <t>。双方向性が課題</t>
    </r>
  </si>
  <si>
    <r>
      <rPr>
        <b/>
        <sz val="10"/>
        <color rgb="FF2C3E50"/>
        <rFont val="Arial"/>
        <family val="2"/>
      </rPr>
      <t>UGC+</t>
    </r>
    <r>
      <rPr>
        <b/>
        <sz val="10"/>
        <color rgb="FF2C3E50"/>
        <rFont val="Noto Sans CJK SC"/>
        <family val="2"/>
      </rPr>
      <t>リポスト数</t>
    </r>
  </si>
  <si>
    <r>
      <rPr>
        <sz val="9"/>
        <color rgb="FF2C3E50"/>
        <rFont val="Arial"/>
        <family val="2"/>
      </rPr>
      <t>10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17</t>
    </r>
    <r>
      <rPr>
        <sz val="9"/>
        <color rgb="FF2C3E50"/>
        <rFont val="Noto Sans CJK SC"/>
        <family val="2"/>
      </rPr>
      <t>が最高。</t>
    </r>
    <r>
      <rPr>
        <sz val="9"/>
        <color rgb="FF2C3E50"/>
        <rFont val="Arial"/>
        <family val="2"/>
      </rPr>
      <t>11</t>
    </r>
    <r>
      <rPr>
        <sz val="9"/>
        <color rgb="FF2C3E50"/>
        <rFont val="Noto Sans CJK SC"/>
        <family val="2"/>
      </rPr>
      <t>月以降低下</t>
    </r>
  </si>
  <si>
    <t>【2】傾向分析サマリー</t>
  </si>
  <si>
    <t>🟢 強み①</t>
  </si>
  <si>
    <t>フォロワー持続成長</t>
  </si>
  <si>
    <r>
      <rPr>
        <sz val="9"/>
        <color rgb="FF2C3E50"/>
        <rFont val="Arial"/>
        <family val="2"/>
      </rPr>
      <t>6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366→1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891</t>
    </r>
    <r>
      <rPr>
        <sz val="9"/>
        <color rgb="FF2C3E50"/>
        <rFont val="Noto Sans CJK SC"/>
        <family val="2"/>
      </rPr>
      <t>（</t>
    </r>
    <r>
      <rPr>
        <sz val="9"/>
        <color rgb="FF2C3E50"/>
        <rFont val="Arial"/>
        <family val="2"/>
      </rPr>
      <t>+2.4</t>
    </r>
    <r>
      <rPr>
        <sz val="9"/>
        <color rgb="FF2C3E50"/>
        <rFont val="Noto Sans CJK SC"/>
        <family val="2"/>
      </rPr>
      <t>倍）。増加ゼロ月なし。ブランド認知は着実に拡大している。</t>
    </r>
  </si>
  <si>
    <t>🟢 強み②</t>
  </si>
  <si>
    <t>エンゲージメントの質向上</t>
  </si>
  <si>
    <r>
      <rPr>
        <sz val="9"/>
        <color rgb="FF2C3E50"/>
        <rFont val="Arial"/>
        <family val="2"/>
      </rPr>
      <t>12</t>
    </r>
    <r>
      <rPr>
        <sz val="9"/>
        <color rgb="FF2C3E50"/>
        <rFont val="Noto Sans CJK SC"/>
        <family val="2"/>
      </rPr>
      <t>月・</t>
    </r>
    <r>
      <rPr>
        <sz val="9"/>
        <color rgb="FF2C3E50"/>
        <rFont val="Arial"/>
        <family val="2"/>
      </rPr>
      <t>1</t>
    </r>
    <r>
      <rPr>
        <sz val="9"/>
        <color rgb="FF2C3E50"/>
        <rFont val="Noto Sans CJK SC"/>
        <family val="2"/>
      </rPr>
      <t>月のエンゲ率は</t>
    </r>
    <r>
      <rPr>
        <sz val="9"/>
        <color rgb="FF2C3E50"/>
        <rFont val="Arial"/>
        <family val="2"/>
      </rPr>
      <t>20%</t>
    </r>
    <r>
      <rPr>
        <sz val="9"/>
        <color rgb="FF2C3E50"/>
        <rFont val="Noto Sans CJK SC"/>
        <family val="2"/>
      </rPr>
      <t>超。いいね数は</t>
    </r>
    <r>
      <rPr>
        <sz val="9"/>
        <color rgb="FF2C3E50"/>
        <rFont val="Arial"/>
        <family val="2"/>
      </rPr>
      <t>9</t>
    </r>
    <r>
      <rPr>
        <sz val="9"/>
        <color rgb="FF2C3E50"/>
        <rFont val="Noto Sans CJK SC"/>
        <family val="2"/>
      </rPr>
      <t>月以降</t>
    </r>
    <r>
      <rPr>
        <sz val="9"/>
        <color rgb="FF2C3E50"/>
        <rFont val="Arial"/>
        <family val="2"/>
      </rPr>
      <t>500</t>
    </r>
    <r>
      <rPr>
        <sz val="9"/>
        <color rgb="FF2C3E50"/>
        <rFont val="Noto Sans CJK SC"/>
        <family val="2"/>
      </rPr>
      <t>前後が定着。ビジュアル訴求力が高まっている。</t>
    </r>
  </si>
  <si>
    <t>🟢 強み③</t>
  </si>
  <si>
    <t>外部リンクタップ＝Linktree開封数</t>
  </si>
  <si>
    <r>
      <rPr>
        <sz val="9"/>
        <color rgb="FF2C3E50"/>
        <rFont val="Arial"/>
        <family val="2"/>
      </rPr>
      <t>8</t>
    </r>
    <r>
      <rPr>
        <sz val="9"/>
        <color rgb="FF2C3E50"/>
        <rFont val="Noto Sans CJK SC"/>
        <family val="2"/>
      </rPr>
      <t>月から計測開始。</t>
    </r>
    <r>
      <rPr>
        <sz val="9"/>
        <color rgb="FF2C3E50"/>
        <rFont val="Arial"/>
        <family val="2"/>
      </rPr>
      <t>1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131</t>
    </r>
    <r>
      <rPr>
        <sz val="9"/>
        <color rgb="FF2C3E50"/>
        <rFont val="Noto Sans CJK SC"/>
        <family val="2"/>
      </rPr>
      <t>回が最高値。インスタ→</t>
    </r>
    <r>
      <rPr>
        <sz val="9"/>
        <color rgb="FF2C3E50"/>
        <rFont val="Arial"/>
        <family val="2"/>
      </rPr>
      <t>EC</t>
    </r>
    <r>
      <rPr>
        <sz val="9"/>
        <color rgb="FF2C3E50"/>
        <rFont val="Noto Sans CJK SC"/>
        <family val="2"/>
      </rPr>
      <t>送客の入口として機能しはじめた。</t>
    </r>
  </si>
  <si>
    <t>🟡 課題①</t>
  </si>
  <si>
    <t>保存数が低く不安定</t>
  </si>
  <si>
    <t>最高でも12月36件。1月は17件に半減。保存動機のある「使い方・シーン提案・比較」投稿が不足。</t>
  </si>
  <si>
    <t>🟡 課題②</t>
  </si>
  <si>
    <t>フォロワー転換率のブレが大きい</t>
  </si>
  <si>
    <r>
      <rPr>
        <sz val="9"/>
        <color rgb="FF2C3E50"/>
        <rFont val="Arial"/>
        <family val="2"/>
      </rPr>
      <t>7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13.1%↔11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5.7%</t>
    </r>
    <r>
      <rPr>
        <sz val="9"/>
        <color rgb="FF2C3E50"/>
        <rFont val="Noto Sans CJK SC"/>
        <family val="2"/>
      </rPr>
      <t>と倍近い差。プロフィール文・ハイライトの訴求力が月によって機能していない。</t>
    </r>
  </si>
  <si>
    <t>🔴 課題③</t>
  </si>
  <si>
    <r>
      <rPr>
        <b/>
        <sz val="9"/>
        <color rgb="FFC0392B"/>
        <rFont val="Arial"/>
        <family val="2"/>
      </rPr>
      <t>11</t>
    </r>
    <r>
      <rPr>
        <b/>
        <sz val="9"/>
        <color rgb="FFC0392B"/>
        <rFont val="Noto Sans CJK SC"/>
        <family val="2"/>
      </rPr>
      <t>月に全指標が急落</t>
    </r>
  </si>
  <si>
    <t>インプレ21,935・リーチ979・フォロワー増加25人はすべて最低値。投稿頻度低下＋コンテンツ拡散力の複合要因。</t>
  </si>
  <si>
    <t>🔴 課題④</t>
  </si>
  <si>
    <t>外部リンク→EC購買の転換が不可視</t>
  </si>
  <si>
    <t>タップ数は見えているが、GA4未連携のためEC購買に繋がっているかが追えていない。UTM設定が急務。</t>
  </si>
  <si>
    <t>🔴 課題⑤</t>
  </si>
  <si>
    <t>コメントほぼゼロ（双方向性欠如）</t>
  </si>
  <si>
    <r>
      <rPr>
        <sz val="9"/>
        <color rgb="FF2C3E50"/>
        <rFont val="Arial"/>
        <family val="2"/>
      </rPr>
      <t>9</t>
    </r>
    <r>
      <rPr>
        <sz val="9"/>
        <color rgb="FF2C3E50"/>
        <rFont val="Noto Sans CJK SC"/>
        <family val="2"/>
      </rPr>
      <t>月</t>
    </r>
    <r>
      <rPr>
        <sz val="9"/>
        <color rgb="FF2C3E50"/>
        <rFont val="Arial"/>
        <family val="2"/>
      </rPr>
      <t>3</t>
    </r>
    <r>
      <rPr>
        <sz val="9"/>
        <color rgb="FF2C3E50"/>
        <rFont val="Noto Sans CJK SC"/>
        <family val="2"/>
      </rPr>
      <t>件以降ずっと</t>
    </r>
    <r>
      <rPr>
        <sz val="9"/>
        <color rgb="FF2C3E50"/>
        <rFont val="Arial"/>
        <family val="2"/>
      </rPr>
      <t>0</t>
    </r>
    <r>
      <rPr>
        <sz val="9"/>
        <color rgb="FF2C3E50"/>
        <rFont val="Noto Sans CJK SC"/>
        <family val="2"/>
      </rPr>
      <t>件。問いかけキャプション・クイズ・コメント返しなど双方向設計が未実施。</t>
    </r>
  </si>
  <si>
    <t>【3】月次KPI × インスタ課題・対策マップ</t>
  </si>
  <si>
    <t>現状課題</t>
  </si>
  <si>
    <t>インスタの役割</t>
  </si>
  <si>
    <t>具体的対策（①〜④優先順）</t>
  </si>
  <si>
    <t>③ 販売PV
目標3,000/月
現状1,800</t>
  </si>
  <si>
    <t>外部リンクタップ=Linktree開封数
Linktree→ECのクリック率が不明。
GA4未計測でEC流入元が追えない</t>
  </si>
  <si>
    <t>インスタ→ECの
送客入口</t>
  </si>
  <si>
    <t>①毎投稿・ストーリーズにリンクスタンプ設置（Linktree経由）
②Linktree内の各リンクにUTMを設定しGA4でEC流入を計測
③Linktree→ECのCTR改善（ECボタンを最上位に配置・文言見直し）
④「今週限定○個」など購買緊急性を訴求しLinktree開封→EC遷移を促進</t>
  </si>
  <si>
    <r>
      <rPr>
        <b/>
        <sz val="9"/>
        <color rgb="FF217346"/>
        <rFont val="Arial"/>
        <family val="2"/>
      </rPr>
      <t xml:space="preserve">⑤ CVR
</t>
    </r>
    <r>
      <rPr>
        <b/>
        <sz val="9"/>
        <color rgb="FF217346"/>
        <rFont val="Noto Sans CJK SC"/>
        <family val="2"/>
      </rPr>
      <t>目標</t>
    </r>
    <r>
      <rPr>
        <b/>
        <sz val="9"/>
        <color rgb="FF217346"/>
        <rFont val="Arial"/>
        <family val="2"/>
      </rPr>
      <t xml:space="preserve">5%
</t>
    </r>
    <r>
      <rPr>
        <b/>
        <sz val="9"/>
        <color rgb="FF217346"/>
        <rFont val="Noto Sans CJK SC"/>
        <family val="2"/>
      </rPr>
      <t>現状</t>
    </r>
    <r>
      <rPr>
        <b/>
        <sz val="9"/>
        <color rgb="FF217346"/>
        <rFont val="Arial"/>
        <family val="2"/>
      </rPr>
      <t>3.5%</t>
    </r>
  </si>
  <si>
    <t>保存数が低い（月20件未満）
→検討層が育っていない。
商品理解浅いまま離脱</t>
  </si>
  <si>
    <t>保存で検討層を
育てる投稿設計</t>
  </si>
  <si>
    <t>①「SHUWAN vs 普通の器」比較・シーン提案投稿を月2本以上
②「日本酒の飲み比べに最適な理由」など情報密度の高いカルーセル
③キャプションで「保存して手土産選びに活用して」と明示
④ハイライト「SHUWANとは？」を整備し購買背景を説明</t>
  </si>
  <si>
    <r>
      <rPr>
        <b/>
        <sz val="9"/>
        <color rgb="FF6A1B9A"/>
        <rFont val="Arial"/>
        <family val="2"/>
      </rPr>
      <t>⑩ UGC+</t>
    </r>
    <r>
      <rPr>
        <b/>
        <sz val="9"/>
        <color rgb="FF6A1B9A"/>
        <rFont val="Noto Sans CJK SC"/>
        <family val="2"/>
      </rPr>
      <t>レビュー
目標</t>
    </r>
    <r>
      <rPr>
        <b/>
        <sz val="9"/>
        <color rgb="FF6A1B9A"/>
        <rFont val="Arial"/>
        <family val="2"/>
      </rPr>
      <t>5</t>
    </r>
    <r>
      <rPr>
        <b/>
        <sz val="9"/>
        <color rgb="FF6A1B9A"/>
        <rFont val="Noto Sans CJK SC"/>
        <family val="2"/>
      </rPr>
      <t>件</t>
    </r>
    <r>
      <rPr>
        <b/>
        <sz val="9"/>
        <color rgb="FF6A1B9A"/>
        <rFont val="Arial"/>
        <family val="2"/>
      </rPr>
      <t>/</t>
    </r>
    <r>
      <rPr>
        <b/>
        <sz val="9"/>
        <color rgb="FF6A1B9A"/>
        <rFont val="Noto Sans CJK SC"/>
        <family val="2"/>
      </rPr>
      <t>月</t>
    </r>
  </si>
  <si>
    <t>コメントほぼゼロ。
10月17件以降低下。
双方向設計が未実施</t>
  </si>
  <si>
    <t>口コミ創出と
拡散の起点</t>
  </si>
  <si>
    <t>①購入者DM「投稿＝リポスト保証」を定型文化
②毎投稿キャプションに問いかけ（「どんな日本酒に合わせた？」）
③月1回「#SHUWAN使ってみた」キャンペーン
④UGCを即リポスト＋ストーリーズでフィーチャー</t>
  </si>
  <si>
    <t>追③ リピート率
目標20%以上</t>
  </si>
  <si>
    <t>フォロワー向け情報比率が
1月54%→既存層への
継続接触が不足</t>
  </si>
  <si>
    <t>既存フォロワーへの
再購買リマインド</t>
  </si>
  <si>
    <t>①週1回「今週の日本酒×SHUWAN」フォロワー向け投稿
②ストーリーズのアンケート・クイズでエンゲージ維持
③「新商品先行告知はフォロワー限定」で継続フォロー動機づけ
④季節ごとに「2回目購入者向けギフトセット」提案投稿</t>
  </si>
  <si>
    <t>⑦⑧ 料飲店
アプローチ・注文数</t>
  </si>
  <si>
    <t>料飲店向け設計が
取扱店紹介のみ。
BtoB認知強化が弱い</t>
  </si>
  <si>
    <t>料飲店担当者への
自然な接触設計</t>
  </si>
  <si>
    <t>①取扱店紹介投稿を月4本以上（継続＋質向上）
②「料飲店ご担当者様へ」訴求ストーリーズを月1回定期配信
③取扱店タグ付けで相互PRを強化し飲食店フォロワーを増加
④DM営業に「先日の投稿をご覧いただいた」参照フレーズを活用</t>
  </si>
  <si>
    <r>
      <rPr>
        <b/>
        <sz val="13"/>
        <color rgb="FFFFFFFF"/>
        <rFont val="Arial"/>
        <family val="2"/>
      </rPr>
      <t>2</t>
    </r>
    <r>
      <rPr>
        <b/>
        <sz val="13"/>
        <color rgb="FFFFFFFF"/>
        <rFont val="Noto Sans CJK SC"/>
        <family val="2"/>
      </rPr>
      <t>月 チャネル別 実績詳細</t>
    </r>
  </si>
  <si>
    <t>🏪  酒販店</t>
  </si>
  <si>
    <t>店舗名</t>
  </si>
  <si>
    <t>数量（碗）</t>
  </si>
  <si>
    <t>売上（円）</t>
  </si>
  <si>
    <t>鍵や</t>
  </si>
  <si>
    <t>五十嵐酒店</t>
  </si>
  <si>
    <t>田中酒造店</t>
  </si>
  <si>
    <t>酒ハウス モリモト</t>
  </si>
  <si>
    <t>こみや酒店</t>
  </si>
  <si>
    <t>合計（目標100碗）</t>
  </si>
  <si>
    <t>64%</t>
  </si>
  <si>
    <t>📦  外販</t>
  </si>
  <si>
    <t>ブラックス（30+60）</t>
  </si>
  <si>
    <t>エルスタイル</t>
  </si>
  <si>
    <t>合計（目標120碗）</t>
  </si>
  <si>
    <t>125% ✅</t>
  </si>
  <si>
    <t>🍶  料飲店</t>
  </si>
  <si>
    <t>西囃子（6+6）</t>
  </si>
  <si>
    <t>日本酒とワインBAR</t>
  </si>
  <si>
    <t>ロイヤルグリーンフーズ（5+1）</t>
  </si>
  <si>
    <t>v.v lab</t>
  </si>
  <si>
    <t>天ぷらぺぺ</t>
  </si>
  <si>
    <t>久楽屋</t>
  </si>
  <si>
    <t>千鳥屋</t>
  </si>
  <si>
    <r>
      <rPr>
        <sz val="10"/>
        <color rgb="FF2C3E50"/>
        <rFont val="Arial"/>
        <family val="2"/>
      </rPr>
      <t>YAKITORI</t>
    </r>
    <r>
      <rPr>
        <sz val="10"/>
        <color rgb="FF2C3E50"/>
        <rFont val="Noto Sans CJK SC"/>
        <family val="2"/>
      </rPr>
      <t>燃</t>
    </r>
  </si>
  <si>
    <t>合計（目標75碗）</t>
  </si>
  <si>
    <t>117% ✅</t>
  </si>
  <si>
    <t>📊  全体サマリー</t>
  </si>
  <si>
    <t>64%  ⚠️</t>
  </si>
  <si>
    <t>98% ⚠️</t>
  </si>
  <si>
    <t>50% ⚠️</t>
  </si>
  <si>
    <t>🛒  自社EC（オンラインショップ）</t>
  </si>
  <si>
    <t>商品名</t>
  </si>
  <si>
    <r>
      <rPr>
        <sz val="10"/>
        <color rgb="FF2C3E50"/>
        <rFont val="Arial"/>
        <family val="2"/>
      </rPr>
      <t>SHUWAN</t>
    </r>
    <r>
      <rPr>
        <sz val="10"/>
        <color rgb="FF2C3E50"/>
        <rFont val="Noto Sans CJK SC"/>
        <family val="2"/>
      </rPr>
      <t>（磁器）</t>
    </r>
  </si>
  <si>
    <r>
      <rPr>
        <sz val="10"/>
        <color rgb="FF2C3E50"/>
        <rFont val="Arial"/>
        <family val="2"/>
      </rPr>
      <t xml:space="preserve">SHUWAN </t>
    </r>
    <r>
      <rPr>
        <sz val="10"/>
        <color rgb="FF2C3E50"/>
        <rFont val="Noto Sans CJK SC"/>
        <family val="2"/>
      </rPr>
      <t>陶胎漆器</t>
    </r>
  </si>
  <si>
    <r>
      <rPr>
        <sz val="10"/>
        <color rgb="FF2C3E50"/>
        <rFont val="Arial"/>
        <family val="2"/>
      </rPr>
      <t xml:space="preserve">SHUWAN </t>
    </r>
    <r>
      <rPr>
        <sz val="10"/>
        <color rgb="FF2C3E50"/>
        <rFont val="Noto Sans CJK SC"/>
        <family val="2"/>
      </rPr>
      <t>干支馬ロゴ</t>
    </r>
  </si>
  <si>
    <t>合計（目標180碗）</t>
  </si>
  <si>
    <t>📦  Amazon</t>
  </si>
  <si>
    <r>
      <rPr>
        <sz val="10"/>
        <color rgb="FF2C3E50"/>
        <rFont val="Arial"/>
        <family val="2"/>
      </rPr>
      <t xml:space="preserve">SHUWAN </t>
    </r>
    <r>
      <rPr>
        <sz val="10"/>
        <color rgb="FF2C3E50"/>
        <rFont val="Noto Sans CJK SC"/>
        <family val="2"/>
      </rPr>
      <t>磁器（通常）</t>
    </r>
  </si>
  <si>
    <r>
      <rPr>
        <sz val="10"/>
        <color rgb="FF2C3E50"/>
        <rFont val="Arial"/>
        <family val="2"/>
      </rPr>
      <t xml:space="preserve">SHUWAN </t>
    </r>
    <r>
      <rPr>
        <sz val="10"/>
        <color rgb="FF2C3E50"/>
        <rFont val="Noto Sans CJK SC"/>
        <family val="2"/>
      </rPr>
      <t>桐箱入り</t>
    </r>
  </si>
  <si>
    <t>合計（目標140碗）</t>
  </si>
  <si>
    <t>📊  全体サマリー（2月確定）</t>
  </si>
  <si>
    <t>実績碗数</t>
  </si>
  <si>
    <r>
      <rPr>
        <sz val="10"/>
        <rFont val="Calibri"/>
        <family val="2"/>
      </rPr>
      <t>64</t>
    </r>
    <r>
      <rPr>
        <sz val="10"/>
        <rFont val="Noto Sans CJK SC"/>
        <family val="2"/>
      </rPr>
      <t>碗（目標</t>
    </r>
    <r>
      <rPr>
        <sz val="10"/>
        <rFont val="Calibri"/>
        <family val="2"/>
      </rPr>
      <t>100</t>
    </r>
    <r>
      <rPr>
        <sz val="10"/>
        <rFont val="Noto Sans CJK SC"/>
        <family val="2"/>
      </rPr>
      <t>碗）</t>
    </r>
  </si>
  <si>
    <t>64%  △</t>
  </si>
  <si>
    <r>
      <rPr>
        <sz val="10"/>
        <rFont val="Calibri"/>
        <family val="2"/>
      </rPr>
      <t>177</t>
    </r>
    <r>
      <rPr>
        <sz val="10"/>
        <rFont val="Noto Sans CJK SC"/>
        <family val="2"/>
      </rPr>
      <t>碗（目標</t>
    </r>
    <r>
      <rPr>
        <sz val="10"/>
        <rFont val="Calibri"/>
        <family val="2"/>
      </rPr>
      <t>180</t>
    </r>
    <r>
      <rPr>
        <sz val="10"/>
        <rFont val="Noto Sans CJK SC"/>
        <family val="2"/>
      </rPr>
      <t>碗）</t>
    </r>
  </si>
  <si>
    <t>98%  △</t>
  </si>
  <si>
    <r>
      <rPr>
        <sz val="10"/>
        <rFont val="Calibri"/>
        <family val="2"/>
      </rPr>
      <t>70</t>
    </r>
    <r>
      <rPr>
        <sz val="10"/>
        <rFont val="Noto Sans CJK SC"/>
        <family val="2"/>
      </rPr>
      <t>碗（目標</t>
    </r>
    <r>
      <rPr>
        <sz val="10"/>
        <rFont val="Calibri"/>
        <family val="2"/>
      </rPr>
      <t>140</t>
    </r>
    <r>
      <rPr>
        <sz val="10"/>
        <rFont val="Noto Sans CJK SC"/>
        <family val="2"/>
      </rPr>
      <t>碗）</t>
    </r>
  </si>
  <si>
    <t>50%  △</t>
  </si>
  <si>
    <r>
      <rPr>
        <sz val="10"/>
        <rFont val="Calibri"/>
        <family val="2"/>
      </rPr>
      <t>150</t>
    </r>
    <r>
      <rPr>
        <sz val="10"/>
        <rFont val="Noto Sans CJK SC"/>
        <family val="2"/>
      </rPr>
      <t>碗（目標</t>
    </r>
    <r>
      <rPr>
        <sz val="10"/>
        <rFont val="Calibri"/>
        <family val="2"/>
      </rPr>
      <t>120</t>
    </r>
    <r>
      <rPr>
        <sz val="10"/>
        <rFont val="Noto Sans CJK SC"/>
        <family val="2"/>
      </rPr>
      <t>碗）</t>
    </r>
  </si>
  <si>
    <t>125%  ✓</t>
  </si>
  <si>
    <r>
      <rPr>
        <sz val="10"/>
        <rFont val="Calibri"/>
        <family val="2"/>
      </rPr>
      <t>88</t>
    </r>
    <r>
      <rPr>
        <sz val="10"/>
        <rFont val="Noto Sans CJK SC"/>
        <family val="2"/>
      </rPr>
      <t>碗（目標</t>
    </r>
    <r>
      <rPr>
        <sz val="10"/>
        <rFont val="Calibri"/>
        <family val="2"/>
      </rPr>
      <t>75</t>
    </r>
    <r>
      <rPr>
        <sz val="10"/>
        <rFont val="Noto Sans CJK SC"/>
        <family val="2"/>
      </rPr>
      <t>碗）</t>
    </r>
  </si>
  <si>
    <t>117%  ✓</t>
  </si>
  <si>
    <r>
      <rPr>
        <sz val="10"/>
        <rFont val="Calibri"/>
        <family val="2"/>
      </rPr>
      <t>549</t>
    </r>
    <r>
      <rPr>
        <sz val="10"/>
        <rFont val="Noto Sans CJK SC"/>
        <family val="2"/>
      </rPr>
      <t>碗（目標</t>
    </r>
    <r>
      <rPr>
        <sz val="10"/>
        <rFont val="Calibri"/>
        <family val="2"/>
      </rPr>
      <t>615</t>
    </r>
    <r>
      <rPr>
        <sz val="10"/>
        <rFont val="Noto Sans CJK SC"/>
        <family val="2"/>
      </rPr>
      <t>碗）</t>
    </r>
  </si>
  <si>
    <t>89%  △</t>
  </si>
  <si>
    <t>💰  レベシェア利益サマリー（2月）</t>
  </si>
  <si>
    <t>実績利益（円）</t>
  </si>
  <si>
    <t>目標利益（円）</t>
  </si>
  <si>
    <t>61%  △</t>
  </si>
  <si>
    <t>71%  △</t>
  </si>
  <si>
    <t>146%  ✓</t>
  </si>
  <si>
    <t>95%  △</t>
  </si>
  <si>
    <t>※利益計算：自社EC・酒販店・外販・料飲店＝売上×30%、Amazon＝売上×(277,000/3,900)×30%相当</t>
  </si>
  <si>
    <r>
      <rPr>
        <b/>
        <sz val="15"/>
        <color rgb="FFFFFFFF"/>
        <rFont val="Arial"/>
        <family val="2"/>
      </rPr>
      <t xml:space="preserve">SHUWAN Instagram KPI </t>
    </r>
    <r>
      <rPr>
        <b/>
        <sz val="15"/>
        <color rgb="FFFFFFFF"/>
        <rFont val="Noto Sans CJK SC"/>
        <family val="2"/>
      </rPr>
      <t>課題・対策レポート</t>
    </r>
  </si>
  <si>
    <r>
      <rPr>
        <sz val="9"/>
        <color rgb="FF8B6914"/>
        <rFont val="Arial"/>
        <family val="2"/>
      </rPr>
      <t>9</t>
    </r>
    <r>
      <rPr>
        <sz val="9"/>
        <color rgb="FF8B6914"/>
        <rFont val="Noto Sans CJK SC"/>
        <family val="2"/>
      </rPr>
      <t>月実績データ分析 → 月次</t>
    </r>
    <r>
      <rPr>
        <sz val="9"/>
        <color rgb="FF8B6914"/>
        <rFont val="Arial"/>
        <family val="2"/>
      </rPr>
      <t>KPI</t>
    </r>
    <r>
      <rPr>
        <sz val="9"/>
        <color rgb="FF8B6914"/>
        <rFont val="Noto Sans CJK SC"/>
        <family val="2"/>
      </rPr>
      <t>への貢献課題と対策  ／  ※</t>
    </r>
    <r>
      <rPr>
        <sz val="9"/>
        <color rgb="FF8B6914"/>
        <rFont val="Arial"/>
        <family val="2"/>
      </rPr>
      <t>2</t>
    </r>
    <r>
      <rPr>
        <sz val="9"/>
        <color rgb="FF8B6914"/>
        <rFont val="Noto Sans CJK SC"/>
        <family val="2"/>
      </rPr>
      <t>月実績は別途入力が必要</t>
    </r>
  </si>
  <si>
    <r>
      <rPr>
        <b/>
        <sz val="11"/>
        <color rgb="FFFFFFFF"/>
        <rFont val="Arial"/>
        <family val="2"/>
      </rPr>
      <t>📊  9</t>
    </r>
    <r>
      <rPr>
        <b/>
        <sz val="11"/>
        <color rgb="FFFFFFFF"/>
        <rFont val="Noto Sans CJK SC"/>
        <family val="2"/>
      </rPr>
      <t xml:space="preserve">月 </t>
    </r>
    <r>
      <rPr>
        <b/>
        <sz val="11"/>
        <color rgb="FFFFFFFF"/>
        <rFont val="Arial"/>
        <family val="2"/>
      </rPr>
      <t xml:space="preserve">Instagram </t>
    </r>
    <r>
      <rPr>
        <b/>
        <sz val="11"/>
        <color rgb="FFFFFFFF"/>
        <rFont val="Noto Sans CJK SC"/>
        <family val="2"/>
      </rPr>
      <t>実績サマリー（</t>
    </r>
    <r>
      <rPr>
        <b/>
        <sz val="11"/>
        <color rgb="FFFFFFFF"/>
        <rFont val="Arial"/>
        <family val="2"/>
      </rPr>
      <t>Google Spreadsheet</t>
    </r>
    <r>
      <rPr>
        <b/>
        <sz val="11"/>
        <color rgb="FFFFFFFF"/>
        <rFont val="Noto Sans CJK SC"/>
        <family val="2"/>
      </rPr>
      <t>より取得）</t>
    </r>
  </si>
  <si>
    <t>指標</t>
  </si>
  <si>
    <r>
      <rPr>
        <b/>
        <sz val="10"/>
        <color rgb="FFFFFFFF"/>
        <rFont val="Arial"/>
        <family val="2"/>
      </rPr>
      <t>9</t>
    </r>
    <r>
      <rPr>
        <b/>
        <sz val="10"/>
        <color rgb="FFFFFFFF"/>
        <rFont val="Noto Sans CJK SC"/>
        <family val="2"/>
      </rPr>
      <t>月実績値</t>
    </r>
  </si>
  <si>
    <t>評価・比較</t>
  </si>
  <si>
    <t>フォロワー数（月末）</t>
  </si>
  <si>
    <r>
      <rPr>
        <sz val="10"/>
        <color rgb="FF2C3E50"/>
        <rFont val="Arial"/>
        <family val="2"/>
      </rPr>
      <t>657</t>
    </r>
    <r>
      <rPr>
        <sz val="10"/>
        <color rgb="FF2C3E50"/>
        <rFont val="Noto Sans CJK SC"/>
        <family val="2"/>
      </rPr>
      <t>人（</t>
    </r>
    <r>
      <rPr>
        <sz val="10"/>
        <color rgb="FF2C3E50"/>
        <rFont val="Arial"/>
        <family val="2"/>
      </rPr>
      <t>+96</t>
    </r>
    <r>
      <rPr>
        <sz val="10"/>
        <color rgb="FF2C3E50"/>
        <rFont val="Noto Sans CJK SC"/>
        <family val="2"/>
      </rPr>
      <t>人）</t>
    </r>
  </si>
  <si>
    <t>目標+80人 → ✅ 達成</t>
  </si>
  <si>
    <r>
      <rPr>
        <sz val="10"/>
        <color rgb="FF2C3E50"/>
        <rFont val="Arial"/>
        <family val="2"/>
      </rPr>
      <t>51,410</t>
    </r>
    <r>
      <rPr>
        <sz val="10"/>
        <color rgb="FF2C3E50"/>
        <rFont val="Noto Sans CJK SC"/>
        <family val="2"/>
      </rPr>
      <t>回</t>
    </r>
  </si>
  <si>
    <t>目標45,000 → ✅ 達成</t>
  </si>
  <si>
    <t>4,420UU</t>
  </si>
  <si>
    <t>目標4,000 → ✅ 達成</t>
  </si>
  <si>
    <r>
      <rPr>
        <sz val="10"/>
        <color rgb="FF2C3E50"/>
        <rFont val="Arial"/>
        <family val="2"/>
      </rPr>
      <t>958</t>
    </r>
    <r>
      <rPr>
        <sz val="10"/>
        <color rgb="FF2C3E50"/>
        <rFont val="Noto Sans CJK SC"/>
        <family val="2"/>
      </rPr>
      <t>件</t>
    </r>
  </si>
  <si>
    <t>目標800件 → ✅ 達成</t>
  </si>
  <si>
    <t>10.02%</t>
  </si>
  <si>
    <t>高水準維持</t>
  </si>
  <si>
    <t>外部リンクタップ数</t>
  </si>
  <si>
    <r>
      <rPr>
        <sz val="10"/>
        <color rgb="FF2C3E50"/>
        <rFont val="Arial"/>
        <family val="2"/>
      </rPr>
      <t>127</t>
    </r>
    <r>
      <rPr>
        <sz val="10"/>
        <color rgb="FF2C3E50"/>
        <rFont val="Noto Sans CJK SC"/>
        <family val="2"/>
      </rPr>
      <t>件</t>
    </r>
  </si>
  <si>
    <t>⚠️ 目標150件 → 未達 15%不足</t>
  </si>
  <si>
    <r>
      <rPr>
        <sz val="10"/>
        <color rgb="FF2C3E50"/>
        <rFont val="Arial"/>
        <family val="2"/>
      </rPr>
      <t>500</t>
    </r>
    <r>
      <rPr>
        <sz val="10"/>
        <color rgb="FF2C3E50"/>
        <rFont val="Noto Sans CJK SC"/>
        <family val="2"/>
      </rPr>
      <t>件</t>
    </r>
  </si>
  <si>
    <t>前月比+84.5% ✅ 大幅増</t>
  </si>
  <si>
    <r>
      <rPr>
        <sz val="10"/>
        <color rgb="FF2C3E50"/>
        <rFont val="Arial"/>
        <family val="2"/>
      </rPr>
      <t>23</t>
    </r>
    <r>
      <rPr>
        <sz val="10"/>
        <color rgb="FF2C3E50"/>
        <rFont val="Noto Sans CJK SC"/>
        <family val="2"/>
      </rPr>
      <t>件</t>
    </r>
  </si>
  <si>
    <t>⚠️ 前月比−91.5% 急減</t>
  </si>
  <si>
    <t>11.83%</t>
  </si>
  <si>
    <t>一般的な平均3〜5%を大幅超過</t>
  </si>
  <si>
    <r>
      <rPr>
        <sz val="10"/>
        <color rgb="FF2C3E50"/>
        <rFont val="Arial"/>
        <family val="2"/>
      </rPr>
      <t>UGC</t>
    </r>
    <r>
      <rPr>
        <sz val="10"/>
        <color rgb="FF2C3E50"/>
        <rFont val="Noto Sans CJK SC"/>
        <family val="2"/>
      </rPr>
      <t>数</t>
    </r>
  </si>
  <si>
    <r>
      <rPr>
        <sz val="10"/>
        <color rgb="FF2C3E50"/>
        <rFont val="Arial"/>
        <family val="2"/>
      </rPr>
      <t>7</t>
    </r>
    <r>
      <rPr>
        <sz val="10"/>
        <color rgb="FF2C3E50"/>
        <rFont val="Noto Sans CJK SC"/>
        <family val="2"/>
      </rPr>
      <t>件</t>
    </r>
  </si>
  <si>
    <t>目標5件 → ✅ 達成</t>
  </si>
  <si>
    <t>📈  傾向分析 ― 強み・弱みの整理</t>
  </si>
  <si>
    <t>✅ 強み</t>
  </si>
  <si>
    <t>リーチ・インプレ・フォロワー転換は好調</t>
  </si>
  <si>
    <t>リール・世界観投稿で新規ユーザーへのリーチ拡大が順調。フォロワー転換率10%は非常に高い水準。いいね500件は「見られる投稿」として評価されている。</t>
  </si>
  <si>
    <t>⚠️ 弱み①</t>
  </si>
  <si>
    <t>外部リンクタップが少ない（EC流入への貢献不足）</t>
  </si>
  <si>
    <r>
      <rPr>
        <sz val="9"/>
        <color rgb="FF2C3E50"/>
        <rFont val="Arial"/>
        <family val="2"/>
      </rPr>
      <t>9</t>
    </r>
    <r>
      <rPr>
        <sz val="9"/>
        <color rgb="FF2C3E50"/>
        <rFont val="Noto Sans CJK SC"/>
        <family val="2"/>
      </rPr>
      <t>月実績</t>
    </r>
    <r>
      <rPr>
        <sz val="9"/>
        <color rgb="FF2C3E50"/>
        <rFont val="Arial"/>
        <family val="2"/>
      </rPr>
      <t>127</t>
    </r>
    <r>
      <rPr>
        <sz val="9"/>
        <color rgb="FF2C3E50"/>
        <rFont val="Noto Sans CJK SC"/>
        <family val="2"/>
      </rPr>
      <t>件は目標比</t>
    </r>
    <r>
      <rPr>
        <sz val="9"/>
        <color rgb="FF2C3E50"/>
        <rFont val="Arial"/>
        <family val="2"/>
      </rPr>
      <t>84%</t>
    </r>
    <r>
      <rPr>
        <sz val="9"/>
        <color rgb="FF2C3E50"/>
        <rFont val="Noto Sans CJK SC"/>
        <family val="2"/>
      </rPr>
      <t>。保存・リンククリックが少ない＝「見るだけ」で購買行動に繋がっていない。いいね↑</t>
    </r>
    <r>
      <rPr>
        <sz val="9"/>
        <color rgb="FF2C3E50"/>
        <rFont val="Arial"/>
        <family val="2"/>
      </rPr>
      <t>×</t>
    </r>
    <r>
      <rPr>
        <sz val="9"/>
        <color rgb="FF2C3E50"/>
        <rFont val="Noto Sans CJK SC"/>
        <family val="2"/>
      </rPr>
      <t>保存↓の乖離は、消費コンテンツになっている証拠。</t>
    </r>
  </si>
  <si>
    <t>⚠️ 弱み②</t>
  </si>
  <si>
    <t>保存率が急減（前月比−91.5%）</t>
  </si>
  <si>
    <t>保存されない＝「後で使いたい」「購入検討」に至らないことを意味する。保存は購買検討の最重要シグナル。保存率の回復が急務。</t>
  </si>
  <si>
    <t>△ 課題③</t>
  </si>
  <si>
    <t>投稿コンテンツの偏り（取扱店紹介中心）</t>
  </si>
  <si>
    <r>
      <rPr>
        <sz val="9"/>
        <color rgb="FF2C3E50"/>
        <rFont val="Arial"/>
        <family val="2"/>
      </rPr>
      <t>9</t>
    </r>
    <r>
      <rPr>
        <sz val="9"/>
        <color rgb="FF2C3E50"/>
        <rFont val="Noto Sans CJK SC"/>
        <family val="2"/>
      </rPr>
      <t>月の投稿は取扱店紹介が多く、購入動機づけ投稿（使用シーン・比較・飲み方提案など）が少なかった可能性。いいね型コンテンツと保存型コンテンツのバランスが必要。</t>
    </r>
  </si>
  <si>
    <t>🎯  月次KPI別 Instagramの課題・対策マトリクス</t>
  </si>
  <si>
    <t>対象KPI</t>
  </si>
  <si>
    <t>インスタとの関連</t>
  </si>
  <si>
    <t>現状の課題</t>
  </si>
  <si>
    <t>具体的対策</t>
  </si>
  <si>
    <t>優先度</t>
  </si>
  <si>
    <t>③ 販売PV
（自社EC流入）</t>
  </si>
  <si>
    <t>外部リンクタップ
→ ECサイト誘導</t>
  </si>
  <si>
    <t>外部リンクタップが目標比84%
「見るだけ」止まりで購買行動に繋がらない</t>
  </si>
  <si>
    <t>①投稿内に毎回「プロフィールリンクから購入」CTA明記
②ストーリーズで商品購入ページを週1回誘導
③リールの最後に「詳細はプロフへ→」テロップ追加</t>
  </si>
  <si>
    <t>🔴 最優先</t>
  </si>
  <si>
    <t>⑤ 購入CVR
（3.5%→5%）</t>
  </si>
  <si>
    <t>保存数・保存率
→ 購入検討度の指標</t>
  </si>
  <si>
    <t>保存が前月比−91.5%と急減
保存されない＝購入検討に至らない</t>
  </si>
  <si>
    <t>①「保存して見返したくなる」実用投稿を月2〜3本
  （飲み方・温度別の味変・食中酒コーデなど）
②「保存して」明示的CTAをキャプションに追加
③商品スペック・比較情報を1枚画像でまとめる投稿</t>
  </si>
  <si>
    <t>⑥ 購入碗数
（月177碗→300碗）</t>
  </si>
  <si>
    <t>いいね・プロフアクセス
→ 興味関心の醸成</t>
  </si>
  <si>
    <t>いいね500件と関心は高いが
購入単価・複数購入の動機づけが不足</t>
  </si>
  <si>
    <t>①「2碗セット」「ギフト推奨」投稿を月1〜2本
②「酒器コレクター」「産地別で揃える」切り口の投稿
③干支モデルなど限定品のカウントダウン投稿</t>
  </si>
  <si>
    <t>🟡 推奨</t>
  </si>
  <si>
    <t>追④ YouTube
→EC流入300/月</t>
  </si>
  <si>
    <t>プロフアクセス数
フォロワー転換率</t>
  </si>
  <si>
    <r>
      <rPr>
        <sz val="10"/>
        <color rgb="FF2C3E50"/>
        <rFont val="Arial"/>
        <family val="2"/>
      </rPr>
      <t>Instagram→YouTube</t>
    </r>
    <r>
      <rPr>
        <sz val="10"/>
        <color rgb="FF2C3E50"/>
        <rFont val="Noto Sans CJK SC"/>
        <family val="2"/>
      </rPr>
      <t xml:space="preserve">誘導が弱い
</t>
    </r>
    <r>
      <rPr>
        <sz val="10"/>
        <color rgb="FF2C3E50"/>
        <rFont val="Arial"/>
        <family val="2"/>
      </rPr>
      <t>YouTube</t>
    </r>
    <r>
      <rPr>
        <sz val="10"/>
        <color rgb="FF2C3E50"/>
        <rFont val="Noto Sans CJK SC"/>
        <family val="2"/>
      </rPr>
      <t>との相互送客が未設計</t>
    </r>
  </si>
  <si>
    <t>①「続きはYouTubeで」形式のリール投稿を月2本
②YouTube動画をInstagramで切り抜きReels化
③プロフィールにYouTubeリンクを追加・訴求</t>
  </si>
  <si>
    <r>
      <rPr>
        <b/>
        <sz val="10"/>
        <color rgb="FF1B2A4A"/>
        <rFont val="Arial"/>
        <family val="2"/>
      </rPr>
      <t>⑩ UGC</t>
    </r>
    <r>
      <rPr>
        <b/>
        <sz val="10"/>
        <color rgb="FF1B2A4A"/>
        <rFont val="Noto Sans CJK SC"/>
        <family val="2"/>
      </rPr>
      <t>数
（月</t>
    </r>
    <r>
      <rPr>
        <b/>
        <sz val="10"/>
        <color rgb="FF1B2A4A"/>
        <rFont val="Arial"/>
        <family val="2"/>
      </rPr>
      <t>5</t>
    </r>
    <r>
      <rPr>
        <b/>
        <sz val="10"/>
        <color rgb="FF1B2A4A"/>
        <rFont val="Noto Sans CJK SC"/>
        <family val="2"/>
      </rPr>
      <t>件以上）</t>
    </r>
  </si>
  <si>
    <r>
      <rPr>
        <sz val="10"/>
        <color rgb="FF6A1B9A"/>
        <rFont val="Arial"/>
        <family val="2"/>
      </rPr>
      <t>UGC</t>
    </r>
    <r>
      <rPr>
        <sz val="10"/>
        <color rgb="FF6A1B9A"/>
        <rFont val="Noto Sans CJK SC"/>
        <family val="2"/>
      </rPr>
      <t>投稿数
シェア数</t>
    </r>
  </si>
  <si>
    <r>
      <rPr>
        <sz val="10"/>
        <color rgb="FF2C3E50"/>
        <rFont val="Arial"/>
        <family val="2"/>
      </rPr>
      <t>9</t>
    </r>
    <r>
      <rPr>
        <sz val="10"/>
        <color rgb="FF2C3E50"/>
        <rFont val="Noto Sans CJK SC"/>
        <family val="2"/>
      </rPr>
      <t>月</t>
    </r>
    <r>
      <rPr>
        <sz val="10"/>
        <color rgb="FF2C3E50"/>
        <rFont val="Arial"/>
        <family val="2"/>
      </rPr>
      <t>UGC=7</t>
    </r>
    <r>
      <rPr>
        <sz val="10"/>
        <color rgb="FF2C3E50"/>
        <rFont val="Noto Sans CJK SC"/>
        <family val="2"/>
      </rPr>
      <t>件（目標達成）だが
継続・拡大の仕組みが未整備</t>
    </r>
  </si>
  <si>
    <t>①「#SHUWAN」ハッシュタグキャンペーン月1回実施
②UGC投稿をリポストし投稿者に感謝→拡散促進
③料飲店QRカードからインスタ誘導→体験投稿促進</t>
  </si>
  <si>
    <t>○ 通常</t>
  </si>
  <si>
    <t>⑦ 料飲店
アプローチ20件/月</t>
  </si>
  <si>
    <t>料飲店アカウント
へのDM送付</t>
  </si>
  <si>
    <r>
      <rPr>
        <sz val="10"/>
        <color rgb="FF2C3E50"/>
        <rFont val="Arial"/>
        <family val="2"/>
      </rPr>
      <t>InstagramDM</t>
    </r>
    <r>
      <rPr>
        <sz val="10"/>
        <color rgb="FF2C3E50"/>
        <rFont val="Noto Sans CJK SC"/>
        <family val="2"/>
      </rPr>
      <t xml:space="preserve">での料飲店アプローチが
</t>
    </r>
    <r>
      <rPr>
        <sz val="10"/>
        <color rgb="FF2C3E50"/>
        <rFont val="Arial"/>
        <family val="2"/>
      </rPr>
      <t>KPI</t>
    </r>
    <r>
      <rPr>
        <sz val="10"/>
        <color rgb="FF2C3E50"/>
        <rFont val="Noto Sans CJK SC"/>
        <family val="2"/>
      </rPr>
      <t>管理に未連動</t>
    </r>
  </si>
  <si>
    <t>①料飲店DMの実績数を月次KPI実績管理に記録
②インスタDMテンプレート整備（取扱実績・実使用動画付き）
③ターゲット料飲店のリスト管理をInstagramで実施</t>
  </si>
  <si>
    <t>追③ リピート率
（目標20%）</t>
  </si>
  <si>
    <t>既存フォロワー向け
投稿（フォロワー比率）</t>
  </si>
  <si>
    <t>フォロワー外リーチ61.3%（9月）
→ 既存ファンへの投稿が相対的に不足</t>
  </si>
  <si>
    <t>①フォロワー限定ストーリーズでリピーター優遇情報発信
②「SHUWAN愛好家向け」マニアック深掘り投稿を月2本
③限定割引コードをフォロワー向けに配布</t>
  </si>
  <si>
    <t>△ 中期</t>
  </si>
  <si>
    <t>📅  月次インスタKPI目標値（設定根拠）</t>
  </si>
  <si>
    <t>【フォロワー増加目標】9月実績+96人を基準に、4月（花見）・7月（夏ギフト）・12月（年末）は+120〜130人に増量設定
【外部リンクタップ目標】9月127件を基準に毎月5〜20%増を設定。ECへの送客を月次KPI③販売PVと連動させる
【保存数目標】9月実績23件は前月比急減のため、目標は9月実績+10〜20件で設定。保存率=CVRの先行指標
【UGC目標】9月実績7件達成。継続的に月5〜10件を維持。UGCは⑩クチコミKPIと同一指標で管理
【2月インスタ実績】※ Googleスプレッドシートの「月間レポート_ 2026年2月」シートのURLを共有いただければ実績値を入力します</t>
  </si>
  <si>
    <r>
      <rPr>
        <b/>
        <sz val="12"/>
        <color rgb="FFFFFFFF"/>
        <rFont val="Calibri"/>
        <family val="2"/>
      </rPr>
      <t>SHUWAN 25</t>
    </r>
    <r>
      <rPr>
        <b/>
        <sz val="12"/>
        <color rgb="FFFFFFFF"/>
        <rFont val="Noto Sans CJK SC"/>
        <family val="2"/>
      </rPr>
      <t>年度 月次レベシェア実績（</t>
    </r>
    <r>
      <rPr>
        <b/>
        <sz val="12"/>
        <color rgb="FFFFFFFF"/>
        <rFont val="Calibri"/>
        <family val="2"/>
      </rPr>
      <t>2025</t>
    </r>
    <r>
      <rPr>
        <b/>
        <sz val="12"/>
        <color rgb="FFFFFFFF"/>
        <rFont val="Noto Sans CJK SC"/>
        <family val="2"/>
      </rPr>
      <t>年</t>
    </r>
    <r>
      <rPr>
        <b/>
        <sz val="12"/>
        <color rgb="FFFFFFFF"/>
        <rFont val="Calibri"/>
        <family val="2"/>
      </rPr>
      <t>1</t>
    </r>
    <r>
      <rPr>
        <b/>
        <sz val="12"/>
        <color rgb="FFFFFFFF"/>
        <rFont val="Noto Sans CJK SC"/>
        <family val="2"/>
      </rPr>
      <t>月〜</t>
    </r>
    <r>
      <rPr>
        <b/>
        <sz val="12"/>
        <color rgb="FFFFFFFF"/>
        <rFont val="Calibri"/>
        <family val="2"/>
      </rPr>
      <t>2026</t>
    </r>
    <r>
      <rPr>
        <b/>
        <sz val="12"/>
        <color rgb="FFFFFFFF"/>
        <rFont val="Noto Sans CJK SC"/>
        <family val="2"/>
      </rPr>
      <t>年</t>
    </r>
    <r>
      <rPr>
        <b/>
        <sz val="12"/>
        <color rgb="FFFFFFFF"/>
        <rFont val="Calibri"/>
        <family val="2"/>
      </rPr>
      <t>1</t>
    </r>
    <r>
      <rPr>
        <b/>
        <sz val="12"/>
        <color rgb="FFFFFFFF"/>
        <rFont val="Noto Sans CJK SC"/>
        <family val="2"/>
      </rPr>
      <t>月）</t>
    </r>
  </si>
  <si>
    <t>※ 各月のレベシェア資料（.xlsx）より抽出。シンクロ（Thinqlo）の60%取り分。</t>
  </si>
  <si>
    <t>YM</t>
  </si>
  <si>
    <t>対象売上合計（円）</t>
  </si>
  <si>
    <t>限界利益（円）</t>
  </si>
  <si>
    <t>シンクロ60%（円）</t>
  </si>
  <si>
    <t>利益率</t>
  </si>
  <si>
    <r>
      <rPr>
        <b/>
        <sz val="10"/>
        <color rgb="FFFFFFFF"/>
        <rFont val="Calibri"/>
        <family val="2"/>
      </rPr>
      <t>26</t>
    </r>
    <r>
      <rPr>
        <b/>
        <sz val="10"/>
        <color rgb="FFFFFFFF"/>
        <rFont val="Noto Sans CJK SC"/>
        <family val="2"/>
      </rPr>
      <t>年度同月目標（円）</t>
    </r>
  </si>
  <si>
    <r>
      <rPr>
        <sz val="10"/>
        <rFont val="Calibri"/>
        <family val="2"/>
      </rPr>
      <t>1</t>
    </r>
    <r>
      <rPr>
        <sz val="10"/>
        <rFont val="Noto Sans CJK SC"/>
        <family val="2"/>
      </rPr>
      <t>月</t>
    </r>
  </si>
  <si>
    <t>2025/01</t>
  </si>
  <si>
    <r>
      <rPr>
        <sz val="10"/>
        <rFont val="Calibri"/>
        <family val="2"/>
      </rPr>
      <t>2</t>
    </r>
    <r>
      <rPr>
        <sz val="10"/>
        <rFont val="Noto Sans CJK SC"/>
        <family val="2"/>
      </rPr>
      <t>月</t>
    </r>
  </si>
  <si>
    <t>2025/02</t>
  </si>
  <si>
    <r>
      <rPr>
        <sz val="10"/>
        <rFont val="Calibri"/>
        <family val="2"/>
      </rPr>
      <t>3</t>
    </r>
    <r>
      <rPr>
        <sz val="10"/>
        <rFont val="Noto Sans CJK SC"/>
        <family val="2"/>
      </rPr>
      <t>月</t>
    </r>
  </si>
  <si>
    <t>2025/03</t>
  </si>
  <si>
    <r>
      <rPr>
        <sz val="10"/>
        <rFont val="Calibri"/>
        <family val="2"/>
      </rPr>
      <t>4</t>
    </r>
    <r>
      <rPr>
        <sz val="10"/>
        <rFont val="Noto Sans CJK SC"/>
        <family val="2"/>
      </rPr>
      <t>月</t>
    </r>
  </si>
  <si>
    <t>2025/04</t>
  </si>
  <si>
    <r>
      <rPr>
        <sz val="10"/>
        <rFont val="Calibri"/>
        <family val="2"/>
      </rPr>
      <t>5</t>
    </r>
    <r>
      <rPr>
        <sz val="10"/>
        <rFont val="Noto Sans CJK SC"/>
        <family val="2"/>
      </rPr>
      <t>月</t>
    </r>
  </si>
  <si>
    <t>2025/05</t>
  </si>
  <si>
    <r>
      <rPr>
        <sz val="10"/>
        <rFont val="Calibri"/>
        <family val="2"/>
      </rPr>
      <t>6</t>
    </r>
    <r>
      <rPr>
        <sz val="10"/>
        <rFont val="Noto Sans CJK SC"/>
        <family val="2"/>
      </rPr>
      <t>月</t>
    </r>
  </si>
  <si>
    <t>2025/06</t>
  </si>
  <si>
    <r>
      <rPr>
        <sz val="10"/>
        <rFont val="Calibri"/>
        <family val="2"/>
      </rPr>
      <t>7</t>
    </r>
    <r>
      <rPr>
        <sz val="10"/>
        <rFont val="Noto Sans CJK SC"/>
        <family val="2"/>
      </rPr>
      <t>月</t>
    </r>
  </si>
  <si>
    <t>2025/07</t>
  </si>
  <si>
    <r>
      <rPr>
        <sz val="10"/>
        <color rgb="FF1B2A4A"/>
        <rFont val="Calibri"/>
        <family val="2"/>
      </rPr>
      <t>11</t>
    </r>
    <r>
      <rPr>
        <sz val="10"/>
        <color rgb="FF1B2A4A"/>
        <rFont val="Noto Sans CJK SC"/>
        <family val="2"/>
      </rPr>
      <t>月</t>
    </r>
  </si>
  <si>
    <t>2025/11</t>
  </si>
  <si>
    <r>
      <rPr>
        <sz val="10"/>
        <color rgb="FF1B2A4A"/>
        <rFont val="Calibri"/>
        <family val="2"/>
      </rPr>
      <t>12</t>
    </r>
    <r>
      <rPr>
        <sz val="10"/>
        <color rgb="FF1B2A4A"/>
        <rFont val="Noto Sans CJK SC"/>
        <family val="2"/>
      </rPr>
      <t>月</t>
    </r>
  </si>
  <si>
    <t>2025/12</t>
  </si>
  <si>
    <r>
      <rPr>
        <b/>
        <sz val="10"/>
        <color rgb="FF856404"/>
        <rFont val="Calibri"/>
        <family val="2"/>
      </rPr>
      <t>26</t>
    </r>
    <r>
      <rPr>
        <b/>
        <sz val="10"/>
        <color rgb="FF856404"/>
        <rFont val="Noto Sans CJK SC"/>
        <family val="2"/>
      </rPr>
      <t>年</t>
    </r>
    <r>
      <rPr>
        <b/>
        <sz val="10"/>
        <color rgb="FF856404"/>
        <rFont val="Calibri"/>
        <family val="2"/>
      </rPr>
      <t>1</t>
    </r>
    <r>
      <rPr>
        <b/>
        <sz val="10"/>
        <color rgb="FF856404"/>
        <rFont val="Noto Sans CJK SC"/>
        <family val="2"/>
      </rPr>
      <t>月※</t>
    </r>
  </si>
  <si>
    <t>2026/01</t>
  </si>
  <si>
    <r>
      <rPr>
        <sz val="9"/>
        <color rgb="FF856404"/>
        <rFont val="Calibri"/>
        <family val="2"/>
      </rPr>
      <t>※26</t>
    </r>
    <r>
      <rPr>
        <sz val="9"/>
        <color rgb="FF856404"/>
        <rFont val="Noto Sans CJK SC"/>
        <family val="2"/>
      </rPr>
      <t>年</t>
    </r>
    <r>
      <rPr>
        <sz val="9"/>
        <color rgb="FF856404"/>
        <rFont val="Calibri"/>
        <family val="2"/>
      </rPr>
      <t>1</t>
    </r>
    <r>
      <rPr>
        <sz val="9"/>
        <color rgb="FF856404"/>
        <rFont val="Noto Sans CJK SC"/>
        <family val="2"/>
      </rPr>
      <t>月はクランド大口発注（</t>
    </r>
    <r>
      <rPr>
        <sz val="9"/>
        <color rgb="FF856404"/>
        <rFont val="Calibri"/>
        <family val="2"/>
      </rPr>
      <t>270</t>
    </r>
    <r>
      <rPr>
        <sz val="9"/>
        <color rgb="FF856404"/>
        <rFont val="Noto Sans CJK SC"/>
        <family val="2"/>
      </rPr>
      <t>碗）含む見込値のため参考扱い。通常月比較には</t>
    </r>
    <r>
      <rPr>
        <sz val="9"/>
        <color rgb="FF856404"/>
        <rFont val="Calibri"/>
        <family val="2"/>
      </rPr>
      <t>12</t>
    </r>
    <r>
      <rPr>
        <sz val="9"/>
        <color rgb="FF856404"/>
        <rFont val="Noto Sans CJK SC"/>
        <family val="2"/>
      </rPr>
      <t>月までの</t>
    </r>
    <r>
      <rPr>
        <sz val="9"/>
        <color rgb="FF856404"/>
        <rFont val="Calibri"/>
        <family val="2"/>
      </rPr>
      <t>12</t>
    </r>
    <r>
      <rPr>
        <sz val="9"/>
        <color rgb="FF856404"/>
        <rFont val="Noto Sans CJK SC"/>
        <family val="2"/>
      </rPr>
      <t>ヶ月合計（合計除く</t>
    </r>
    <r>
      <rPr>
        <sz val="9"/>
        <color rgb="FF856404"/>
        <rFont val="Calibri"/>
        <family val="2"/>
      </rPr>
      <t>1</t>
    </r>
    <r>
      <rPr>
        <sz val="9"/>
        <color rgb="FF856404"/>
        <rFont val="Noto Sans CJK SC"/>
        <family val="2"/>
      </rPr>
      <t>月）を参照</t>
    </r>
  </si>
  <si>
    <t>・対象売上 = その月のレベシェア計算対象売上（EC+酒販店+外販+料飲店）</t>
  </si>
  <si>
    <t>・限界利益 = 対象売上 − 変動費（原価・箱・ロイヤリティ・手数料）+ Amazon収支</t>
  </si>
  <si>
    <t>・シンクロ60% = 限界利益 × 60%（Thinqloの取り分 = レベシェア利益）</t>
  </si>
  <si>
    <t>・26年度同月目標 = ①月次KPI目標シートの合計値（参考比較用）</t>
  </si>
  <si>
    <t>・25年度実績は26年度目標比で大幅未達。26年度はグラス・焼酎・MAKUAKEを加えた拡大計画。</t>
  </si>
  <si>
    <r>
      <rPr>
        <b/>
        <sz val="11"/>
        <color rgb="FFFFFFFF"/>
        <rFont val="Calibri"/>
        <family val="2"/>
      </rPr>
      <t>① KPI</t>
    </r>
    <r>
      <rPr>
        <b/>
        <sz val="11"/>
        <color rgb="FFFFFFFF"/>
        <rFont val="Noto Sans CJK SC"/>
        <family val="2"/>
      </rPr>
      <t>目標（現状・短期・中期）</t>
    </r>
  </si>
  <si>
    <r>
      <rPr>
        <b/>
        <sz val="10"/>
        <color rgb="FFFFFFFF"/>
        <rFont val="Calibri"/>
        <family val="2"/>
      </rPr>
      <t>KPI</t>
    </r>
    <r>
      <rPr>
        <b/>
        <sz val="10"/>
        <color rgb="FFFFFFFF"/>
        <rFont val="Noto Sans CJK SC"/>
        <family val="2"/>
      </rPr>
      <t>指標</t>
    </r>
  </si>
  <si>
    <t>現状（実績）</t>
  </si>
  <si>
    <t>短期目標
3ヶ月後</t>
  </si>
  <si>
    <t>算出根拠</t>
  </si>
  <si>
    <t>モニタリング方法</t>
  </si>
  <si>
    <t>月次新規獲得
（酒販店）</t>
  </si>
  <si>
    <t>平均4〜5店/月</t>
  </si>
  <si>
    <r>
      <rPr>
        <sz val="10"/>
        <color rgb="FF155724"/>
        <rFont val="Calibri"/>
        <family val="2"/>
      </rPr>
      <t>8</t>
    </r>
    <r>
      <rPr>
        <sz val="10"/>
        <color rgb="FF155724"/>
        <rFont val="Noto Sans CJK SC"/>
        <family val="2"/>
      </rPr>
      <t>店</t>
    </r>
  </si>
  <si>
    <r>
      <rPr>
        <sz val="10"/>
        <rFont val="Calibri"/>
        <family val="2"/>
      </rPr>
      <t>DM→</t>
    </r>
    <r>
      <rPr>
        <sz val="10"/>
        <rFont val="Noto Sans CJK SC"/>
        <family val="2"/>
      </rPr>
      <t>酒販店転換率を改善
（現状は業態混在で計測困難）</t>
    </r>
  </si>
  <si>
    <t>月末に酒販店新規をカウント</t>
  </si>
  <si>
    <t>酒販店リピート率</t>
  </si>
  <si>
    <t>約17%</t>
  </si>
  <si>
    <t>30%</t>
  </si>
  <si>
    <t>酒泉洞掘一が3ヶ月継続が最長
フォロー施策で改善余地大</t>
  </si>
  <si>
    <t>前月取引店舗の翌月購入率</t>
  </si>
  <si>
    <t>酒販店 月次売上</t>
  </si>
  <si>
    <r>
      <rPr>
        <sz val="10"/>
        <rFont val="Calibri"/>
        <family val="2"/>
      </rPr>
      <t>¥200K</t>
    </r>
    <r>
      <rPr>
        <sz val="10"/>
        <rFont val="Noto Sans CJK SC"/>
        <family val="2"/>
      </rPr>
      <t>〜</t>
    </r>
    <r>
      <rPr>
        <sz val="10"/>
        <rFont val="Calibri"/>
        <family val="2"/>
      </rPr>
      <t xml:space="preserve">¥600K
</t>
    </r>
    <r>
      <rPr>
        <sz val="10"/>
        <rFont val="Noto Sans CJK SC"/>
        <family val="2"/>
      </rPr>
      <t>（月によりバラつき大）</t>
    </r>
  </si>
  <si>
    <t>¥600,000</t>
  </si>
  <si>
    <t>外販ECを除いた純粋な酒販店売上
現状は大口案件依存</t>
  </si>
  <si>
    <t>月次レベシェア資料で確認</t>
  </si>
  <si>
    <r>
      <rPr>
        <sz val="10"/>
        <rFont val="Calibri"/>
        <family val="2"/>
      </rPr>
      <t>1</t>
    </r>
    <r>
      <rPr>
        <sz val="10"/>
        <rFont val="Noto Sans CJK SC"/>
        <family val="2"/>
      </rPr>
      <t>店舗平均発注数</t>
    </r>
  </si>
  <si>
    <t>約13〜40碗/回
（平均24碗）</t>
  </si>
  <si>
    <r>
      <rPr>
        <sz val="10"/>
        <color rgb="FF155724"/>
        <rFont val="Calibri"/>
        <family val="2"/>
      </rPr>
      <t>30</t>
    </r>
    <r>
      <rPr>
        <sz val="10"/>
        <color rgb="FF155724"/>
        <rFont val="Noto Sans CJK SC"/>
        <family val="2"/>
      </rPr>
      <t>碗</t>
    </r>
  </si>
  <si>
    <t>現状は30碗ロットが中心
棚入れ提案でロット拡大</t>
  </si>
  <si>
    <t>月次販売数÷酒販店取引数</t>
  </si>
  <si>
    <t>累積酒販店数（のべ）</t>
  </si>
  <si>
    <r>
      <rPr>
        <sz val="10"/>
        <rFont val="Calibri"/>
        <family val="2"/>
      </rPr>
      <t>18</t>
    </r>
    <r>
      <rPr>
        <sz val="10"/>
        <rFont val="Noto Sans CJK SC"/>
        <family val="2"/>
      </rPr>
      <t>店舗</t>
    </r>
  </si>
  <si>
    <r>
      <rPr>
        <sz val="10"/>
        <color rgb="FF155724"/>
        <rFont val="Calibri"/>
        <family val="2"/>
      </rPr>
      <t>30</t>
    </r>
    <r>
      <rPr>
        <sz val="10"/>
        <color rgb="FF155724"/>
        <rFont val="Noto Sans CJK SC"/>
        <family val="2"/>
      </rPr>
      <t>店舗</t>
    </r>
  </si>
  <si>
    <t>毎月4〜5店ペースを8店に引き上げ</t>
  </si>
  <si>
    <t>取引先台帳で管理</t>
  </si>
  <si>
    <r>
      <rPr>
        <sz val="10"/>
        <rFont val="Calibri"/>
        <family val="2"/>
      </rPr>
      <t>DM→</t>
    </r>
    <r>
      <rPr>
        <sz val="10"/>
        <rFont val="Noto Sans CJK SC"/>
        <family val="2"/>
      </rPr>
      <t>発注転換率</t>
    </r>
  </si>
  <si>
    <t>不明
（計測開始）</t>
  </si>
  <si>
    <t>5%</t>
  </si>
  <si>
    <t>酒販店向けDMを業態分離して計測
（インスタDM＋紙DM合算）</t>
  </si>
  <si>
    <t>送付先業態別に記録</t>
  </si>
  <si>
    <t>② 月次サマリー（酒販店チャネル実績）</t>
  </si>
  <si>
    <r>
      <rPr>
        <b/>
        <sz val="9"/>
        <color rgb="FFCFD8DC"/>
        <rFont val="Calibri"/>
        <family val="2"/>
      </rPr>
      <t>25</t>
    </r>
    <r>
      <rPr>
        <b/>
        <sz val="9"/>
        <color rgb="FFCFD8DC"/>
        <rFont val="Noto Sans CJK SC"/>
        <family val="2"/>
      </rPr>
      <t>年</t>
    </r>
    <r>
      <rPr>
        <b/>
        <sz val="9"/>
        <color rgb="FFCFD8DC"/>
        <rFont val="Calibri"/>
        <family val="2"/>
      </rPr>
      <t>1</t>
    </r>
    <r>
      <rPr>
        <b/>
        <sz val="9"/>
        <color rgb="FFCFD8DC"/>
        <rFont val="Noto Sans CJK SC"/>
        <family val="2"/>
      </rPr>
      <t>月</t>
    </r>
  </si>
  <si>
    <r>
      <rPr>
        <b/>
        <sz val="9"/>
        <color rgb="FFCFD8DC"/>
        <rFont val="Calibri"/>
        <family val="2"/>
      </rPr>
      <t>25</t>
    </r>
    <r>
      <rPr>
        <b/>
        <sz val="9"/>
        <color rgb="FFCFD8DC"/>
        <rFont val="Noto Sans CJK SC"/>
        <family val="2"/>
      </rPr>
      <t>年</t>
    </r>
    <r>
      <rPr>
        <b/>
        <sz val="9"/>
        <color rgb="FFCFD8DC"/>
        <rFont val="Calibri"/>
        <family val="2"/>
      </rPr>
      <t>2</t>
    </r>
    <r>
      <rPr>
        <b/>
        <sz val="9"/>
        <color rgb="FFCFD8DC"/>
        <rFont val="Noto Sans CJK SC"/>
        <family val="2"/>
      </rPr>
      <t>月</t>
    </r>
  </si>
  <si>
    <r>
      <rPr>
        <b/>
        <sz val="9"/>
        <color rgb="FFCFD8DC"/>
        <rFont val="Calibri"/>
        <family val="2"/>
      </rPr>
      <t>25</t>
    </r>
    <r>
      <rPr>
        <b/>
        <sz val="9"/>
        <color rgb="FFCFD8DC"/>
        <rFont val="Noto Sans CJK SC"/>
        <family val="2"/>
      </rPr>
      <t>年</t>
    </r>
    <r>
      <rPr>
        <b/>
        <sz val="9"/>
        <color rgb="FFCFD8DC"/>
        <rFont val="Calibri"/>
        <family val="2"/>
      </rPr>
      <t>4</t>
    </r>
    <r>
      <rPr>
        <b/>
        <sz val="9"/>
        <color rgb="FFCFD8DC"/>
        <rFont val="Noto Sans CJK SC"/>
        <family val="2"/>
      </rPr>
      <t>月</t>
    </r>
  </si>
  <si>
    <r>
      <rPr>
        <b/>
        <sz val="9"/>
        <color rgb="FFCFD8DC"/>
        <rFont val="Calibri"/>
        <family val="2"/>
      </rPr>
      <t>25</t>
    </r>
    <r>
      <rPr>
        <b/>
        <sz val="9"/>
        <color rgb="FFCFD8DC"/>
        <rFont val="Noto Sans CJK SC"/>
        <family val="2"/>
      </rPr>
      <t>年</t>
    </r>
    <r>
      <rPr>
        <b/>
        <sz val="9"/>
        <color rgb="FFCFD8DC"/>
        <rFont val="Calibri"/>
        <family val="2"/>
      </rPr>
      <t>5</t>
    </r>
    <r>
      <rPr>
        <b/>
        <sz val="9"/>
        <color rgb="FFCFD8DC"/>
        <rFont val="Noto Sans CJK SC"/>
        <family val="2"/>
      </rPr>
      <t>月</t>
    </r>
  </si>
  <si>
    <r>
      <rPr>
        <b/>
        <sz val="9"/>
        <color rgb="FFC8E6C9"/>
        <rFont val="Calibri"/>
        <family val="2"/>
      </rPr>
      <t>25</t>
    </r>
    <r>
      <rPr>
        <b/>
        <sz val="9"/>
        <color rgb="FFC8E6C9"/>
        <rFont val="Noto Sans CJK SC"/>
        <family val="2"/>
      </rPr>
      <t>年</t>
    </r>
    <r>
      <rPr>
        <b/>
        <sz val="9"/>
        <color rgb="FFC8E6C9"/>
        <rFont val="Calibri"/>
        <family val="2"/>
      </rPr>
      <t>6</t>
    </r>
    <r>
      <rPr>
        <b/>
        <sz val="9"/>
        <color rgb="FFC8E6C9"/>
        <rFont val="Noto Sans CJK SC"/>
        <family val="2"/>
      </rPr>
      <t>月</t>
    </r>
  </si>
  <si>
    <r>
      <rPr>
        <b/>
        <sz val="9"/>
        <color rgb="FFC8E6C9"/>
        <rFont val="Calibri"/>
        <family val="2"/>
      </rPr>
      <t>25</t>
    </r>
    <r>
      <rPr>
        <b/>
        <sz val="9"/>
        <color rgb="FFC8E6C9"/>
        <rFont val="Noto Sans CJK SC"/>
        <family val="2"/>
      </rPr>
      <t>年</t>
    </r>
    <r>
      <rPr>
        <b/>
        <sz val="9"/>
        <color rgb="FFC8E6C9"/>
        <rFont val="Calibri"/>
        <family val="2"/>
      </rPr>
      <t>7</t>
    </r>
    <r>
      <rPr>
        <b/>
        <sz val="9"/>
        <color rgb="FFC8E6C9"/>
        <rFont val="Noto Sans CJK SC"/>
        <family val="2"/>
      </rPr>
      <t>月</t>
    </r>
  </si>
  <si>
    <r>
      <rPr>
        <b/>
        <sz val="9"/>
        <color rgb="FFC8E6C9"/>
        <rFont val="Calibri"/>
        <family val="2"/>
      </rPr>
      <t>25</t>
    </r>
    <r>
      <rPr>
        <b/>
        <sz val="9"/>
        <color rgb="FFC8E6C9"/>
        <rFont val="Noto Sans CJK SC"/>
        <family val="2"/>
      </rPr>
      <t>年</t>
    </r>
    <r>
      <rPr>
        <b/>
        <sz val="9"/>
        <color rgb="FFC8E6C9"/>
        <rFont val="Calibri"/>
        <family val="2"/>
      </rPr>
      <t>8</t>
    </r>
    <r>
      <rPr>
        <b/>
        <sz val="9"/>
        <color rgb="FFC8E6C9"/>
        <rFont val="Noto Sans CJK SC"/>
        <family val="2"/>
      </rPr>
      <t>月</t>
    </r>
  </si>
  <si>
    <r>
      <rPr>
        <b/>
        <sz val="9"/>
        <color rgb="FFC8E6C9"/>
        <rFont val="Calibri"/>
        <family val="2"/>
      </rPr>
      <t>25</t>
    </r>
    <r>
      <rPr>
        <b/>
        <sz val="9"/>
        <color rgb="FFC8E6C9"/>
        <rFont val="Noto Sans CJK SC"/>
        <family val="2"/>
      </rPr>
      <t>年</t>
    </r>
    <r>
      <rPr>
        <b/>
        <sz val="9"/>
        <color rgb="FFC8E6C9"/>
        <rFont val="Calibri"/>
        <family val="2"/>
      </rPr>
      <t>9</t>
    </r>
    <r>
      <rPr>
        <b/>
        <sz val="9"/>
        <color rgb="FFC8E6C9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</si>
  <si>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>年</t>
    </r>
    <r>
      <rPr>
        <b/>
        <sz val="9"/>
        <color rgb="FFFFFFFF"/>
        <rFont val="Calibri"/>
        <family val="2"/>
      </rPr>
      <t>10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</si>
  <si>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>年</t>
    </r>
    <r>
      <rPr>
        <b/>
        <sz val="9"/>
        <color rgb="FFFFFFFF"/>
        <rFont val="Calibri"/>
        <family val="2"/>
      </rPr>
      <t>11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</si>
  <si>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>年</t>
    </r>
    <r>
      <rPr>
        <b/>
        <sz val="9"/>
        <color rgb="FFFFFFFF"/>
        <rFont val="Calibri"/>
        <family val="2"/>
      </rPr>
      <t>12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</si>
  <si>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26</t>
    </r>
    <r>
      <rPr>
        <b/>
        <sz val="9"/>
        <color rgb="FFFFFFFF"/>
        <rFont val="Noto Sans CJK SC"/>
        <family val="2"/>
      </rPr>
      <t>年</t>
    </r>
    <r>
      <rPr>
        <b/>
        <sz val="9"/>
        <color rgb="FFFFFFFF"/>
        <rFont val="Calibri"/>
        <family val="2"/>
      </rPr>
      <t>1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</si>
  <si>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26</t>
    </r>
    <r>
      <rPr>
        <b/>
        <sz val="9"/>
        <color rgb="FFFFFFFF"/>
        <rFont val="Noto Sans CJK SC"/>
        <family val="2"/>
      </rPr>
      <t>年</t>
    </r>
    <r>
      <rPr>
        <b/>
        <sz val="9"/>
        <color rgb="FFFFFFFF"/>
        <rFont val="Calibri"/>
        <family val="2"/>
      </rPr>
      <t>2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</si>
  <si>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90A4AE"/>
        <rFont val="Calibri"/>
        <family val="2"/>
      </rPr>
      <t>26</t>
    </r>
    <r>
      <rPr>
        <b/>
        <sz val="9"/>
        <color rgb="FF90A4AE"/>
        <rFont val="Noto Sans CJK SC"/>
        <family val="2"/>
      </rPr>
      <t>年</t>
    </r>
    <r>
      <rPr>
        <b/>
        <sz val="9"/>
        <color rgb="FF90A4AE"/>
        <rFont val="Calibri"/>
        <family val="2"/>
      </rPr>
      <t>3</t>
    </r>
    <r>
      <rPr>
        <b/>
        <sz val="9"/>
        <color rgb="FF90A4AE"/>
        <rFont val="Noto Sans CJK SC"/>
        <family val="2"/>
      </rPr>
      <t>月</t>
    </r>
  </si>
  <si>
    <r>
      <rPr>
        <b/>
        <sz val="9"/>
        <color rgb="FF90A4AE"/>
        <rFont val="Calibri"/>
        <family val="2"/>
      </rPr>
      <t>26</t>
    </r>
    <r>
      <rPr>
        <b/>
        <sz val="9"/>
        <color rgb="FF90A4AE"/>
        <rFont val="Noto Sans CJK SC"/>
        <family val="2"/>
      </rPr>
      <t>年</t>
    </r>
    <r>
      <rPr>
        <b/>
        <sz val="9"/>
        <color rgb="FF90A4AE"/>
        <rFont val="Calibri"/>
        <family val="2"/>
      </rPr>
      <t>4</t>
    </r>
    <r>
      <rPr>
        <b/>
        <sz val="9"/>
        <color rgb="FF90A4AE"/>
        <rFont val="Noto Sans CJK SC"/>
        <family val="2"/>
      </rPr>
      <t>月</t>
    </r>
  </si>
  <si>
    <t>合計
(10月〜2月)</t>
  </si>
  <si>
    <t>取引店舗数（店）</t>
  </si>
  <si>
    <t>未稼働</t>
  </si>
  <si>
    <t>販売数量（碗）</t>
  </si>
  <si>
    <t>売上推計（円）</t>
  </si>
  <si>
    <t>リピート店舗数</t>
  </si>
  <si>
    <t>リピート率</t>
  </si>
  <si>
    <t>57%</t>
  </si>
  <si>
    <t>12%</t>
  </si>
  <si>
    <t>0%</t>
  </si>
  <si>
    <t>50%</t>
  </si>
  <si>
    <t>33%</t>
  </si>
  <si>
    <t>■凡例：グレー＝酒販店未稼働（1〜5月）　黄＝酒販店+酒蔵合算の参考値（6〜9月）　白/灰＝酒販店のみ確定値（10月〜）　青＝未入力欄（月末入力）
■リピート率＝前月取引店のうち当月も発注した割合　■6〜9月売上は月別計画修正ファイル（酒販店・酒蔵合算値）</t>
  </si>
  <si>
    <t>③ 店舗別取引マスタ（酒販店・酒蔵）</t>
  </si>
  <si>
    <r>
      <rPr>
        <sz val="8"/>
        <color rgb="FF666666"/>
        <rFont val="Calibri"/>
        <family val="2"/>
      </rPr>
      <t>■25</t>
    </r>
    <r>
      <rPr>
        <sz val="8"/>
        <color rgb="FF666666"/>
        <rFont val="Noto Sans CJK SC"/>
        <family val="2"/>
      </rPr>
      <t>年</t>
    </r>
    <r>
      <rPr>
        <sz val="8"/>
        <color rgb="FF666666"/>
        <rFont val="Calibri"/>
        <family val="2"/>
      </rPr>
      <t>7</t>
    </r>
    <r>
      <rPr>
        <sz val="8"/>
        <color rgb="FF666666"/>
        <rFont val="Noto Sans CJK SC"/>
        <family val="2"/>
      </rPr>
      <t>〜</t>
    </r>
    <r>
      <rPr>
        <sz val="8"/>
        <color rgb="FF666666"/>
        <rFont val="Calibri"/>
        <family val="2"/>
      </rPr>
      <t>9</t>
    </r>
    <r>
      <rPr>
        <sz val="8"/>
        <color rgb="FF666666"/>
        <rFont val="Noto Sans CJK SC"/>
        <family val="2"/>
      </rPr>
      <t>月：店舗別確定値（今回追加）■エリア・きっかけ：今回追加 ■青セル：未入力欄（月末入力）</t>
    </r>
  </si>
  <si>
    <t>業態</t>
  </si>
  <si>
    <t>エリア</t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</si>
  <si>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7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</si>
  <si>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8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</si>
  <si>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9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</si>
  <si>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10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</si>
  <si>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11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</si>
  <si>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12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</si>
  <si>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26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1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</si>
  <si>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26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2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</si>
  <si>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26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3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</si>
  <si>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26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4</t>
    </r>
    <r>
      <rPr>
        <b/>
        <sz val="9"/>
        <color rgb="FFFFFFFF"/>
        <rFont val="Noto Sans CJK SC"/>
        <family val="2"/>
      </rPr>
      <t>月</t>
    </r>
  </si>
  <si>
    <t>累計碗数
(7月〜)</t>
  </si>
  <si>
    <t>取引
月数</t>
  </si>
  <si>
    <t>備考</t>
  </si>
  <si>
    <t>酒泉洞堀一</t>
  </si>
  <si>
    <t>愛知県名古屋市西区枇杷島</t>
  </si>
  <si>
    <r>
      <rPr>
        <sz val="9"/>
        <color rgb="FF155724"/>
        <rFont val="Calibri"/>
        <family val="2"/>
      </rPr>
      <t>11</t>
    </r>
    <r>
      <rPr>
        <sz val="9"/>
        <color rgb="FF155724"/>
        <rFont val="Noto Sans CJK SC"/>
        <family val="2"/>
      </rPr>
      <t>月</t>
    </r>
    <r>
      <rPr>
        <sz val="9"/>
        <color rgb="FF155724"/>
        <rFont val="Calibri"/>
        <family val="2"/>
      </rPr>
      <t>30</t>
    </r>
    <r>
      <rPr>
        <sz val="9"/>
        <color rgb="FF155724"/>
        <rFont val="Noto Sans CJK SC"/>
        <family val="2"/>
      </rPr>
      <t>碗・</t>
    </r>
    <r>
      <rPr>
        <sz val="9"/>
        <color rgb="FF155724"/>
        <rFont val="Calibri"/>
        <family val="2"/>
      </rPr>
      <t>12</t>
    </r>
    <r>
      <rPr>
        <sz val="9"/>
        <color rgb="FF155724"/>
        <rFont val="Noto Sans CJK SC"/>
        <family val="2"/>
      </rPr>
      <t>月</t>
    </r>
    <r>
      <rPr>
        <sz val="9"/>
        <color rgb="FF155724"/>
        <rFont val="Calibri"/>
        <family val="2"/>
      </rPr>
      <t>30</t>
    </r>
    <r>
      <rPr>
        <sz val="9"/>
        <color rgb="FF155724"/>
        <rFont val="Noto Sans CJK SC"/>
        <family val="2"/>
      </rPr>
      <t>碗 確定。</t>
    </r>
    <r>
      <rPr>
        <sz val="9"/>
        <color rgb="FF155724"/>
        <rFont val="Calibri"/>
        <family val="2"/>
      </rPr>
      <t>1</t>
    </r>
    <r>
      <rPr>
        <sz val="9"/>
        <color rgb="FF155724"/>
        <rFont val="Noto Sans CJK SC"/>
        <family val="2"/>
      </rPr>
      <t xml:space="preserve">月発注なし。 </t>
    </r>
    <r>
      <rPr>
        <sz val="9"/>
        <color rgb="FF155724"/>
        <rFont val="Calibri"/>
        <family val="2"/>
      </rPr>
      <t xml:space="preserve">/ </t>
    </r>
    <r>
      <rPr>
        <sz val="9"/>
        <color rgb="FF155724"/>
        <rFont val="Noto Sans CJK SC"/>
        <family val="2"/>
      </rPr>
      <t>見積書送付済み</t>
    </r>
  </si>
  <si>
    <t>カネセ酒店</t>
  </si>
  <si>
    <t>新潟県</t>
  </si>
  <si>
    <t>見積書送付済み</t>
  </si>
  <si>
    <t>小宮商店/こみや酒店</t>
  </si>
  <si>
    <t>埼玉県川口市</t>
  </si>
  <si>
    <t>継続中 / 見積書送付済み</t>
  </si>
  <si>
    <t>ヴィノスやまざき</t>
  </si>
  <si>
    <t>静岡県</t>
  </si>
  <si>
    <t>力丸酒店</t>
  </si>
  <si>
    <t>福岡県北九州市</t>
  </si>
  <si>
    <t>酒ハウスモリモト</t>
  </si>
  <si>
    <t>徳島県徳島市川内町</t>
  </si>
  <si>
    <t>根本商店</t>
  </si>
  <si>
    <t>北海道札幌市南区</t>
  </si>
  <si>
    <t>さざなみ酒店</t>
  </si>
  <si>
    <t>滋賀県彦根市</t>
  </si>
  <si>
    <r>
      <rPr>
        <sz val="9"/>
        <color rgb="FF155724"/>
        <rFont val="Calibri"/>
        <family val="2"/>
      </rPr>
      <t>7</t>
    </r>
    <r>
      <rPr>
        <sz val="9"/>
        <color rgb="FF155724"/>
        <rFont val="Noto Sans CJK SC"/>
        <family val="2"/>
      </rPr>
      <t xml:space="preserve">月のみ </t>
    </r>
    <r>
      <rPr>
        <sz val="9"/>
        <color rgb="FF155724"/>
        <rFont val="Calibri"/>
        <family val="2"/>
      </rPr>
      <t xml:space="preserve">/ </t>
    </r>
    <r>
      <rPr>
        <sz val="9"/>
        <color rgb="FF155724"/>
        <rFont val="Noto Sans CJK SC"/>
        <family val="2"/>
      </rPr>
      <t>見積書送付済み</t>
    </r>
  </si>
  <si>
    <t>ワインショップ武田</t>
  </si>
  <si>
    <t>岡山県</t>
  </si>
  <si>
    <t>力丸酒店息子が修行先 / 見積書送付済み</t>
  </si>
  <si>
    <t>東市酒店</t>
  </si>
  <si>
    <t>広島県尾道市</t>
  </si>
  <si>
    <t>大阪府泉大津市</t>
  </si>
  <si>
    <t>長谷川屋</t>
  </si>
  <si>
    <t>新潟県新潟市西蒲区</t>
  </si>
  <si>
    <t>森田酒店</t>
  </si>
  <si>
    <t>奈良県橿原市</t>
  </si>
  <si>
    <t>渡邉宗田商店</t>
  </si>
  <si>
    <t>福島県会津若松市</t>
  </si>
  <si>
    <t>桑原商店</t>
  </si>
  <si>
    <t>東京都品川区西五反田</t>
  </si>
  <si>
    <t>島酒店</t>
  </si>
  <si>
    <t>京都府京都市中京区</t>
  </si>
  <si>
    <t>うらの酒店</t>
  </si>
  <si>
    <t>福岡県行橋市</t>
  </si>
  <si>
    <t>ひろがる酒店</t>
  </si>
  <si>
    <t>青森県八戸市</t>
  </si>
  <si>
    <t>栗林酒造店</t>
  </si>
  <si>
    <t>秋田県仙北郡美郷町</t>
  </si>
  <si>
    <t>つきや酒店</t>
  </si>
  <si>
    <t>東京都世田谷区経堂</t>
  </si>
  <si>
    <t>加藤酒店</t>
  </si>
  <si>
    <t>青森県弘前市</t>
  </si>
  <si>
    <t>すみの酒店</t>
  </si>
  <si>
    <t>兵庫県神戸市</t>
  </si>
  <si>
    <t>新潟県長岡市</t>
  </si>
  <si>
    <t>森ノ醸造所</t>
  </si>
  <si>
    <t>酒蔵</t>
  </si>
  <si>
    <r>
      <rPr>
        <sz val="10"/>
        <color rgb="FF1B2A4A"/>
        <rFont val="Calibri"/>
        <family val="2"/>
      </rPr>
      <t>LINNÉ</t>
    </r>
    <r>
      <rPr>
        <sz val="10"/>
        <color rgb="FF1B2A4A"/>
        <rFont val="Noto Sans CJK SC"/>
        <family val="2"/>
      </rPr>
      <t>／リンネ</t>
    </r>
  </si>
  <si>
    <t>酒蔵・酒販</t>
  </si>
  <si>
    <t>酒蔵が酒販も兼業</t>
  </si>
  <si>
    <t>継続中</t>
  </si>
  <si>
    <t>福司酒造</t>
  </si>
  <si>
    <t>合計（27店舗）</t>
  </si>
  <si>
    <t>★緑太字＝継続取引中 ／ 青背景＝酒販店 ／ 紫背景＝酒蔵 ／ 黄セル＝発注0碗 ／ 累計は25年7月〜26年2月の8ヶ月合算 ／ 酒泉洞堀一11・12月は確定値に修正済み</t>
  </si>
  <si>
    <t>⑤ 飲食店（料飲店）取引マスタ（25年2月〜）</t>
  </si>
  <si>
    <r>
      <rPr>
        <sz val="8"/>
        <color rgb="FF666666"/>
        <rFont val="Calibri"/>
        <family val="2"/>
      </rPr>
      <t>■2</t>
    </r>
    <r>
      <rPr>
        <sz val="8"/>
        <color rgb="FF666666"/>
        <rFont val="Noto Sans CJK SC"/>
        <family val="2"/>
      </rPr>
      <t>〜</t>
    </r>
    <r>
      <rPr>
        <sz val="8"/>
        <color rgb="FF666666"/>
        <rFont val="Calibri"/>
        <family val="2"/>
      </rPr>
      <t>9</t>
    </r>
    <r>
      <rPr>
        <sz val="8"/>
        <color rgb="FF666666"/>
        <rFont val="Noto Sans CJK SC"/>
        <family val="2"/>
      </rPr>
      <t>月：店舗別データなし（外販</t>
    </r>
    <r>
      <rPr>
        <sz val="8"/>
        <color rgb="FF666666"/>
        <rFont val="Calibri"/>
        <family val="2"/>
      </rPr>
      <t>+</t>
    </r>
    <r>
      <rPr>
        <sz val="8"/>
        <color rgb="FF666666"/>
        <rFont val="Noto Sans CJK SC"/>
        <family val="2"/>
      </rPr>
      <t>飲食合算の「その他」のみ）■</t>
    </r>
    <r>
      <rPr>
        <sz val="8"/>
        <color rgb="FF666666"/>
        <rFont val="Calibri"/>
        <family val="2"/>
      </rPr>
      <t>10</t>
    </r>
    <r>
      <rPr>
        <sz val="8"/>
        <color rgb="FF666666"/>
        <rFont val="Noto Sans CJK SC"/>
        <family val="2"/>
      </rPr>
      <t>月〜：店舗別確定値　■青セル：未入力欄（月末入力）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</si>
  <si>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2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</si>
  <si>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3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</si>
  <si>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4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</si>
  <si>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5</t>
    </r>
    <r>
      <rPr>
        <b/>
        <sz val="9"/>
        <color rgb="FFFFFFFF"/>
        <rFont val="Noto Sans CJK SC"/>
        <family val="2"/>
      </rPr>
      <t>月</t>
    </r>
  </si>
  <si>
    <r>
      <rPr>
        <b/>
        <sz val="9"/>
        <color rgb="FFFFFFFF"/>
        <rFont val="Calibri"/>
        <family val="2"/>
      </rPr>
      <t>25</t>
    </r>
    <r>
      <rPr>
        <b/>
        <sz val="9"/>
        <color rgb="FFFFFFFF"/>
        <rFont val="Noto Sans CJK SC"/>
        <family val="2"/>
      </rPr>
      <t xml:space="preserve">年
</t>
    </r>
    <r>
      <rPr>
        <b/>
        <sz val="9"/>
        <color rgb="FFFFFFFF"/>
        <rFont val="Calibri"/>
        <family val="2"/>
      </rPr>
      <t>6</t>
    </r>
    <r>
      <rPr>
        <b/>
        <sz val="9"/>
        <color rgb="FFFFFFFF"/>
        <rFont val="Noto Sans CJK SC"/>
        <family val="2"/>
      </rPr>
      <t>月</t>
    </r>
  </si>
  <si>
    <t>累計碗数
(10月〜)</t>
  </si>
  <si>
    <t>いけ増</t>
  </si>
  <si>
    <t>飲食店</t>
  </si>
  <si>
    <t>料飲店に分類（旧マスタ酒販店→修正）</t>
  </si>
  <si>
    <t>ほうちょう</t>
  </si>
  <si>
    <r>
      <rPr>
        <sz val="10"/>
        <color rgb="FF1B2A4A"/>
        <rFont val="Calibri"/>
        <family val="2"/>
      </rPr>
      <t>YAKITORI</t>
    </r>
    <r>
      <rPr>
        <sz val="10"/>
        <color rgb="FF1B2A4A"/>
        <rFont val="Noto Sans CJK SC"/>
        <family val="2"/>
      </rPr>
      <t>燃</t>
    </r>
  </si>
  <si>
    <t>築地すしOmakase</t>
  </si>
  <si>
    <t>上野猩々</t>
  </si>
  <si>
    <t>sou</t>
  </si>
  <si>
    <t>パシオンエナチュール</t>
  </si>
  <si>
    <t>熊三</t>
  </si>
  <si>
    <t>西囃子</t>
  </si>
  <si>
    <t>炭之囲</t>
  </si>
  <si>
    <t>ためえもん</t>
  </si>
  <si>
    <t>J-CAT</t>
  </si>
  <si>
    <t>shizuku</t>
  </si>
  <si>
    <t>ロイヤルグリーンフーズ</t>
  </si>
  <si>
    <t>合計（19店舗）</t>
  </si>
  <si>
    <t>★緑太字＝継続取引中 ／ 赤背景＝飲食店 ／ グレー列＝2〜9月（店舗別データなし）／ 累計は25年10月〜26年2月 ／ 青セル＝未入力欄</t>
  </si>
  <si>
    <t>【全業態サマリー】業態別取引構成比（25年10月〜26年2月 5ヶ月累計）</t>
  </si>
  <si>
    <t>店舗数</t>
  </si>
  <si>
    <t>累計碗数</t>
  </si>
  <si>
    <t>構成比</t>
  </si>
  <si>
    <t>主な取引先例</t>
  </si>
  <si>
    <r>
      <rPr>
        <sz val="9"/>
        <color rgb="FF1B6B9A"/>
        <rFont val="Calibri"/>
        <family val="2"/>
      </rPr>
      <t>23</t>
    </r>
    <r>
      <rPr>
        <sz val="9"/>
        <color rgb="FF1B6B9A"/>
        <rFont val="Noto Sans CJK SC"/>
        <family val="2"/>
      </rPr>
      <t>店舗</t>
    </r>
  </si>
  <si>
    <t>20.8%</t>
  </si>
  <si>
    <t>酒泉洞堀一・カネセ酒店・小宮商店 など</t>
  </si>
  <si>
    <t>外販EC</t>
  </si>
  <si>
    <r>
      <rPr>
        <sz val="9"/>
        <color rgb="FFE65C00"/>
        <rFont val="Calibri"/>
        <family val="2"/>
      </rPr>
      <t>5</t>
    </r>
    <r>
      <rPr>
        <sz val="9"/>
        <color rgb="FFE65C00"/>
        <rFont val="Noto Sans CJK SC"/>
        <family val="2"/>
      </rPr>
      <t>社</t>
    </r>
  </si>
  <si>
    <t>56.3%</t>
  </si>
  <si>
    <t>クランド(大口)・エルスタイル・ナビッピ など</t>
  </si>
  <si>
    <r>
      <rPr>
        <sz val="9"/>
        <color rgb="FFC0392B"/>
        <rFont val="Calibri"/>
        <family val="2"/>
      </rPr>
      <t>19</t>
    </r>
    <r>
      <rPr>
        <sz val="9"/>
        <color rgb="FFC0392B"/>
        <rFont val="Noto Sans CJK SC"/>
        <family val="2"/>
      </rPr>
      <t>店舗</t>
    </r>
  </si>
  <si>
    <t>17.9%</t>
  </si>
  <si>
    <t>いけ増・ほうちょう・YAKITORI燃 など</t>
  </si>
  <si>
    <r>
      <rPr>
        <sz val="9"/>
        <color rgb="FF6A3580"/>
        <rFont val="Calibri"/>
        <family val="2"/>
      </rPr>
      <t>4</t>
    </r>
    <r>
      <rPr>
        <sz val="9"/>
        <color rgb="FF6A3580"/>
        <rFont val="Noto Sans CJK SC"/>
        <family val="2"/>
      </rPr>
      <t>店舗</t>
    </r>
  </si>
  <si>
    <t>田中酒造店・森ノ醸造所・LINNÉ など</t>
  </si>
  <si>
    <t>100%</t>
  </si>
  <si>
    <r>
      <rPr>
        <sz val="10"/>
        <color rgb="FFFF0000"/>
        <rFont val="ＭＳ ゴシック"/>
        <family val="3"/>
        <charset val="128"/>
      </rPr>
      <t>乾酒店</t>
    </r>
    <r>
      <rPr>
        <sz val="10"/>
        <color rgb="FFFF0000"/>
        <rFont val="Noto Sans CJK SC"/>
        <family val="2"/>
        <charset val="1"/>
      </rPr>
      <t>（中央硝子）</t>
    </r>
    <rPh sb="0" eb="1">
      <t>イヌイ</t>
    </rPh>
    <rPh sb="1" eb="3">
      <t>サケテン</t>
    </rPh>
    <rPh sb="4" eb="8">
      <t>チュウオウガラス</t>
    </rPh>
    <phoneticPr fontId="202"/>
  </si>
  <si>
    <r>
      <rPr>
        <sz val="10"/>
        <color rgb="FFFF0000"/>
        <rFont val="ＭＳ ゴシック"/>
        <family val="3"/>
        <charset val="128"/>
      </rPr>
      <t>酒のきたむら</t>
    </r>
    <r>
      <rPr>
        <sz val="10"/>
        <color rgb="FFFF0000"/>
        <rFont val="Noto Sans CJK SC"/>
        <family val="2"/>
        <charset val="1"/>
      </rPr>
      <t>酒食品店</t>
    </r>
    <rPh sb="0" eb="1">
      <t>サケ</t>
    </rPh>
    <rPh sb="6" eb="7">
      <t>サケ</t>
    </rPh>
    <rPh sb="7" eb="10">
      <t>ショクヒンテン</t>
    </rPh>
    <phoneticPr fontId="202"/>
  </si>
  <si>
    <t>京都府</t>
    <phoneticPr fontId="202"/>
  </si>
  <si>
    <t>福井県福井市</t>
    <phoneticPr fontId="202"/>
  </si>
  <si>
    <t>酒乃店はやし</t>
    <phoneticPr fontId="20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</si>
</sst>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207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2"/>
      <color rgb="FFFFFFFF"/>
      <name val="Noto Sans CJK SC"/>
      <family val="2"/>
    </font>
    <font>
      <sz val="9"/>
      <color rgb="FF888888"/>
      <name val="Noto Sans CJK SC"/>
      <family val="2"/>
      <charset val="1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Noto Sans CJK SC"/>
      <family val="2"/>
      <charset val="1"/>
    </font>
    <font>
      <sz val="10"/>
      <color rgb="FF1565C0"/>
      <name val="Noto Sans CJK SC"/>
      <family val="2"/>
      <charset val="1"/>
    </font>
    <font>
      <sz val="10"/>
      <color rgb="FF1565C0"/>
      <name val="Arial"/>
      <family val="2"/>
    </font>
    <font>
      <sz val="10"/>
      <color rgb="FF217346"/>
      <name val="Noto Sans CJK SC"/>
      <family val="2"/>
      <charset val="1"/>
    </font>
    <font>
      <sz val="10"/>
      <color rgb="FF217346"/>
      <name val="Arial"/>
      <family val="2"/>
    </font>
    <font>
      <sz val="10"/>
      <color rgb="FF006064"/>
      <name val="Arial"/>
      <family val="2"/>
    </font>
    <font>
      <sz val="10"/>
      <color rgb="FFE65100"/>
      <name val="Noto Sans CJK SC"/>
      <family val="2"/>
      <charset val="1"/>
    </font>
    <font>
      <sz val="10"/>
      <color rgb="FFE65100"/>
      <name val="Arial"/>
      <family val="2"/>
    </font>
    <font>
      <sz val="10"/>
      <color rgb="FF8B6914"/>
      <name val="Arial"/>
      <family val="2"/>
    </font>
    <font>
      <sz val="10"/>
      <color rgb="FF6A1B9A"/>
      <name val="Noto Sans CJK SC"/>
      <family val="2"/>
      <charset val="1"/>
    </font>
    <font>
      <sz val="10"/>
      <color rgb="FF6A1B9A"/>
      <name val="Arial"/>
      <family val="2"/>
    </font>
    <font>
      <sz val="9"/>
      <color rgb="FFFFFFFF"/>
      <name val="Noto Sans CJK SC"/>
      <family val="2"/>
      <charset val="1"/>
    </font>
    <font>
      <b/>
      <sz val="10"/>
      <color rgb="FFC9A84C"/>
      <name val="Arial"/>
      <family val="2"/>
    </font>
    <font>
      <sz val="9"/>
      <color rgb="FFFFFFFF"/>
      <name val="Arial"/>
      <family val="2"/>
    </font>
    <font>
      <sz val="9"/>
      <color rgb="FF888888"/>
      <name val="Arial"/>
      <family val="2"/>
    </font>
    <font>
      <sz val="9"/>
      <color rgb="FF888888"/>
      <name val="Noto Sans CJK SC"/>
      <family val="2"/>
    </font>
    <font>
      <sz val="10"/>
      <color rgb="FF1B5E20"/>
      <name val="Noto Sans CJK SC"/>
      <family val="2"/>
      <charset val="1"/>
    </font>
    <font>
      <sz val="10"/>
      <color rgb="FF1B5E20"/>
      <name val="Arial"/>
      <family val="2"/>
    </font>
    <font>
      <sz val="10"/>
      <color rgb="FF217346"/>
      <name val="Noto Sans CJK SC"/>
      <family val="2"/>
    </font>
    <font>
      <sz val="10"/>
      <color rgb="FF6A1B9A"/>
      <name val="Noto Sans CJK SC"/>
      <family val="2"/>
    </font>
    <font>
      <sz val="10"/>
      <color rgb="FF2C3E50"/>
      <name val="Arial"/>
      <family val="2"/>
    </font>
    <font>
      <b/>
      <sz val="10"/>
      <color rgb="FF2491AA"/>
      <name val="Noto Sans CJK SC"/>
      <family val="2"/>
      <charset val="1"/>
    </font>
    <font>
      <b/>
      <sz val="10"/>
      <color rgb="FF1B2A4A"/>
      <name val="Arial"/>
      <family val="2"/>
    </font>
    <font>
      <b/>
      <sz val="10"/>
      <color rgb="FF217346"/>
      <name val="Noto Sans CJK SC"/>
      <family val="2"/>
      <charset val="1"/>
    </font>
    <font>
      <b/>
      <sz val="10"/>
      <color rgb="FF00796B"/>
      <name val="Arial"/>
      <family val="2"/>
    </font>
    <font>
      <b/>
      <sz val="10"/>
      <color rgb="FFE65100"/>
      <name val="Noto Sans CJK SC"/>
      <family val="2"/>
      <charset val="1"/>
    </font>
    <font>
      <b/>
      <sz val="10"/>
      <color rgb="FFC6B048"/>
      <name val="Arial"/>
      <family val="2"/>
    </font>
    <font>
      <b/>
      <sz val="10"/>
      <color rgb="FF6A1B9A"/>
      <name val="Noto Sans CJK SC"/>
      <family val="2"/>
      <charset val="1"/>
    </font>
    <font>
      <sz val="9"/>
      <color rgb="FF8B6914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9"/>
      <color rgb="FF666666"/>
      <name val="Calibri"/>
      <family val="2"/>
    </font>
    <font>
      <sz val="9"/>
      <color rgb="FF666666"/>
      <name val="Noto Sans CJK SC"/>
      <family val="2"/>
    </font>
    <font>
      <b/>
      <sz val="10"/>
      <color rgb="FFFFFFFF"/>
      <name val="Calibri"/>
      <family val="2"/>
    </font>
    <font>
      <sz val="10"/>
      <name val="Noto Sans CJK SC"/>
      <family val="2"/>
      <charset val="1"/>
    </font>
    <font>
      <sz val="10"/>
      <name val="Calibri"/>
      <family val="2"/>
    </font>
    <font>
      <b/>
      <sz val="10"/>
      <name val="Noto Sans CJK SC"/>
      <family val="2"/>
      <charset val="1"/>
    </font>
    <font>
      <b/>
      <sz val="10"/>
      <name val="Calibri"/>
      <family val="2"/>
    </font>
    <font>
      <sz val="10"/>
      <color rgb="FF444444"/>
      <name val="Calibri"/>
      <family val="2"/>
    </font>
    <font>
      <sz val="10"/>
      <color rgb="FF555555"/>
      <name val="Calibri"/>
      <family val="2"/>
    </font>
    <font>
      <sz val="10"/>
      <color rgb="FF555555"/>
      <name val="Noto Sans CJK SC"/>
      <family val="2"/>
    </font>
    <font>
      <sz val="10"/>
      <color rgb="FF555555"/>
      <name val="Noto Sans CJK SC"/>
      <family val="2"/>
      <charset val="1"/>
    </font>
    <font>
      <sz val="10"/>
      <color rgb="FF888888"/>
      <name val="Noto Sans CJK SC"/>
      <family val="2"/>
      <charset val="1"/>
    </font>
    <font>
      <sz val="10"/>
      <color rgb="FF888888"/>
      <name val="Calibri"/>
      <family val="2"/>
    </font>
    <font>
      <sz val="10"/>
      <color rgb="FFAAAAAA"/>
      <name val="Calibri"/>
      <family val="2"/>
    </font>
    <font>
      <b/>
      <sz val="9"/>
      <color rgb="FF1565C0"/>
      <name val="Noto Sans CJK SC"/>
      <family val="2"/>
      <charset val="1"/>
    </font>
    <font>
      <sz val="9"/>
      <color rgb="FF2C3E50"/>
      <name val="Arial"/>
      <family val="2"/>
    </font>
    <font>
      <sz val="9"/>
      <color rgb="FF2C3E50"/>
      <name val="Noto Sans CJK SC"/>
      <family val="2"/>
    </font>
    <font>
      <sz val="9"/>
      <color rgb="FF2C3E50"/>
      <name val="Noto Sans CJK SC"/>
      <family val="2"/>
      <charset val="1"/>
    </font>
    <font>
      <b/>
      <sz val="9"/>
      <color rgb="FF217346"/>
      <name val="Noto Sans CJK SC"/>
      <family val="2"/>
      <charset val="1"/>
    </font>
    <font>
      <b/>
      <sz val="9"/>
      <color rgb="FF8B6914"/>
      <name val="Arial"/>
      <family val="2"/>
    </font>
    <font>
      <b/>
      <sz val="9"/>
      <color rgb="FFE65100"/>
      <name val="Noto Sans CJK SC"/>
      <family val="2"/>
      <charset val="1"/>
    </font>
    <font>
      <b/>
      <sz val="9"/>
      <color rgb="FF6A1B9A"/>
      <name val="Noto Sans CJK SC"/>
      <family val="2"/>
      <charset val="1"/>
    </font>
    <font>
      <b/>
      <sz val="9"/>
      <color rgb="FF880E4F"/>
      <name val="Noto Sans CJK SC"/>
      <family val="2"/>
      <charset val="1"/>
    </font>
    <font>
      <b/>
      <sz val="9"/>
      <color rgb="FF006064"/>
      <name val="Noto Sans CJK SC"/>
      <family val="2"/>
      <charset val="1"/>
    </font>
    <font>
      <b/>
      <sz val="11"/>
      <color rgb="FFFFFFFF"/>
      <name val="Calibri"/>
      <family val="2"/>
    </font>
    <font>
      <b/>
      <sz val="11"/>
      <color rgb="FFFFFFFF"/>
      <name val="Noto Sans CJK SC"/>
      <family val="2"/>
    </font>
    <font>
      <sz val="8"/>
      <color rgb="FF666666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sz val="10"/>
      <color rgb="FF1B2A4A"/>
      <name val="Calibri"/>
      <family val="2"/>
    </font>
    <font>
      <sz val="10"/>
      <color rgb="FF1B2A4A"/>
      <name val="Noto Sans CJK SC"/>
      <family val="2"/>
    </font>
    <font>
      <sz val="10"/>
      <color rgb="FF999999"/>
      <name val="Calibri"/>
      <family val="2"/>
    </font>
    <font>
      <b/>
      <sz val="10"/>
      <color rgb="FF856404"/>
      <name val="Calibri"/>
      <family val="2"/>
    </font>
    <font>
      <b/>
      <sz val="10"/>
      <color rgb="FFC0392B"/>
      <name val="Calibri"/>
      <family val="2"/>
    </font>
    <font>
      <sz val="10"/>
      <color rgb="FFC0392B"/>
      <name val="Calibri"/>
      <family val="2"/>
    </font>
    <font>
      <sz val="10"/>
      <color rgb="FF155724"/>
      <name val="Calibri"/>
      <family val="2"/>
    </font>
    <font>
      <b/>
      <sz val="10"/>
      <color rgb="FF155724"/>
      <name val="Calibri"/>
      <family val="2"/>
    </font>
    <font>
      <b/>
      <sz val="10"/>
      <color rgb="FFE65C00"/>
      <name val="Calibri"/>
      <family val="2"/>
    </font>
    <font>
      <b/>
      <sz val="10"/>
      <color rgb="FF721C24"/>
      <name val="Calibri"/>
      <family val="2"/>
    </font>
    <font>
      <sz val="10"/>
      <color rgb="FF721C24"/>
      <name val="Calibri"/>
      <family val="2"/>
    </font>
    <font>
      <b/>
      <sz val="9"/>
      <color rgb="FF721C24"/>
      <name val="Noto Sans CJK SC"/>
      <family val="2"/>
      <charset val="1"/>
    </font>
    <font>
      <b/>
      <sz val="10"/>
      <color rgb="FF1B2A4A"/>
      <name val="Noto Sans CJK SC"/>
      <family val="2"/>
      <charset val="1"/>
    </font>
    <font>
      <sz val="9"/>
      <color rgb="FF1B6B9A"/>
      <name val="Noto Sans CJK SC"/>
      <family val="2"/>
      <charset val="1"/>
    </font>
    <font>
      <sz val="9"/>
      <name val="Noto Sans CJK SC"/>
      <family val="2"/>
      <charset val="1"/>
    </font>
    <font>
      <sz val="9"/>
      <name val="Calibri"/>
      <family val="2"/>
    </font>
    <font>
      <sz val="9"/>
      <color rgb="FF1B7A4A"/>
      <name val="Noto Sans CJK SC"/>
      <family val="2"/>
      <charset val="1"/>
    </font>
    <font>
      <i/>
      <sz val="9"/>
      <color rgb="FFAAAAAA"/>
      <name val="Calibri"/>
      <family val="2"/>
    </font>
    <font>
      <sz val="9"/>
      <color rgb="FFAAAAAA"/>
      <name val="Calibri"/>
      <family val="2"/>
    </font>
    <font>
      <sz val="9"/>
      <color rgb="FFE07B00"/>
      <name val="Noto Sans CJK SC"/>
      <family val="2"/>
      <charset val="1"/>
    </font>
    <font>
      <sz val="9"/>
      <color rgb="FFE07B00"/>
      <name val="Calibri"/>
      <family val="2"/>
    </font>
    <font>
      <sz val="9"/>
      <color rgb="FF6A3580"/>
      <name val="Noto Sans CJK SC"/>
      <family val="2"/>
      <charset val="1"/>
    </font>
    <font>
      <sz val="9"/>
      <color rgb="FFC0392B"/>
      <name val="Noto Sans CJK SC"/>
      <family val="2"/>
      <charset val="1"/>
    </font>
    <font>
      <sz val="9"/>
      <color rgb="FFC0392B"/>
      <name val="Calibri"/>
      <family val="2"/>
    </font>
    <font>
      <b/>
      <sz val="9"/>
      <color rgb="FF2D4A6E"/>
      <name val="Noto Sans CJK SC"/>
      <family val="2"/>
      <charset val="1"/>
    </font>
    <font>
      <sz val="9"/>
      <color rgb="FF666666"/>
      <name val="Noto Sans CJK SC"/>
      <family val="2"/>
      <charset val="1"/>
    </font>
    <font>
      <sz val="9"/>
      <color rgb="FF721C24"/>
      <name val="Calibri"/>
      <family val="2"/>
    </font>
    <font>
      <sz val="9"/>
      <color rgb="FF5D4037"/>
      <name val="Noto Sans CJK SC"/>
      <family val="2"/>
      <charset val="1"/>
    </font>
    <font>
      <b/>
      <sz val="9"/>
      <color rgb="FF1B2A4A"/>
      <name val="Noto Sans CJK SC"/>
      <family val="2"/>
      <charset val="1"/>
    </font>
    <font>
      <b/>
      <sz val="9"/>
      <name val="Calibri"/>
      <family val="2"/>
    </font>
    <font>
      <b/>
      <sz val="9"/>
      <color rgb="FF721C24"/>
      <name val="Calibri"/>
      <family val="2"/>
    </font>
    <font>
      <sz val="9"/>
      <color rgb="FF155724"/>
      <name val="Calibri"/>
      <family val="2"/>
    </font>
    <font>
      <b/>
      <sz val="11"/>
      <color rgb="FFFFFFFF"/>
      <name val="Arial"/>
      <family val="2"/>
    </font>
    <font>
      <sz val="9"/>
      <color rgb="FF1565C0"/>
      <name val="Noto Sans CJK SC"/>
      <family val="2"/>
      <charset val="1"/>
    </font>
    <font>
      <b/>
      <sz val="10"/>
      <color rgb="FF1565C0"/>
      <name val="Arial"/>
      <family val="2"/>
    </font>
    <font>
      <b/>
      <sz val="10"/>
      <color rgb="FF0000FF"/>
      <name val="Arial"/>
      <family val="2"/>
    </font>
    <font>
      <sz val="9"/>
      <color rgb="FF6A1B9A"/>
      <name val="Noto Sans CJK SC"/>
      <family val="2"/>
      <charset val="1"/>
    </font>
    <font>
      <b/>
      <sz val="10"/>
      <color rgb="FF6A1B9A"/>
      <name val="Arial"/>
      <family val="2"/>
    </font>
    <font>
      <b/>
      <sz val="10"/>
      <color rgb="FF4A148C"/>
      <name val="Arial"/>
      <family val="2"/>
    </font>
    <font>
      <b/>
      <sz val="10"/>
      <color rgb="FF4A148C"/>
      <name val="Noto Sans CJK SC"/>
      <family val="2"/>
    </font>
    <font>
      <b/>
      <sz val="10"/>
      <color rgb="FFFF9900"/>
      <name val="Arial"/>
      <family val="2"/>
    </font>
    <font>
      <b/>
      <sz val="10"/>
      <color rgb="FFFF9900"/>
      <name val="Noto Sans CJK SC"/>
      <family val="2"/>
    </font>
    <font>
      <sz val="10"/>
      <color rgb="FF888888"/>
      <name val="Arial"/>
      <family val="2"/>
    </font>
    <font>
      <b/>
      <sz val="10"/>
      <color rgb="FF8B6914"/>
      <name val="Arial"/>
      <family val="2"/>
    </font>
    <font>
      <sz val="9"/>
      <color rgb="FF217346"/>
      <name val="Noto Sans CJK SC"/>
      <family val="2"/>
      <charset val="1"/>
    </font>
    <font>
      <b/>
      <sz val="10"/>
      <color rgb="FF217346"/>
      <name val="Arial"/>
      <family val="2"/>
    </font>
    <font>
      <sz val="10"/>
      <color rgb="FF4A148C"/>
      <name val="Noto Sans CJK SC"/>
      <family val="2"/>
      <charset val="1"/>
    </font>
    <font>
      <sz val="10"/>
      <color rgb="FF0000FF"/>
      <name val="Arial"/>
      <family val="2"/>
    </font>
    <font>
      <b/>
      <sz val="10"/>
      <color rgb="FF4A148C"/>
      <name val="Noto Sans CJK SC"/>
      <family val="2"/>
      <charset val="1"/>
    </font>
    <font>
      <sz val="9"/>
      <color rgb="FF00796B"/>
      <name val="Noto Sans CJK SC"/>
      <family val="2"/>
      <charset val="1"/>
    </font>
    <font>
      <sz val="10"/>
      <color rgb="FF00796B"/>
      <name val="Arial"/>
      <family val="2"/>
    </font>
    <font>
      <sz val="9"/>
      <color rgb="FF2491AA"/>
      <name val="Noto Sans CJK SC"/>
      <family val="2"/>
      <charset val="1"/>
    </font>
    <font>
      <sz val="10"/>
      <color rgb="FF2491AA"/>
      <name val="Arial"/>
      <family val="2"/>
    </font>
    <font>
      <sz val="9"/>
      <color rgb="FFE65100"/>
      <name val="Noto Sans CJK SC"/>
      <family val="2"/>
      <charset val="1"/>
    </font>
    <font>
      <sz val="9"/>
      <color rgb="FFE91E63"/>
      <name val="Arial"/>
      <family val="2"/>
    </font>
    <font>
      <sz val="9"/>
      <color rgb="FFE91E63"/>
      <name val="Noto Sans CJK SC"/>
      <family val="2"/>
    </font>
    <font>
      <sz val="10"/>
      <color rgb="FFE91E63"/>
      <name val="Arial"/>
      <family val="2"/>
    </font>
    <font>
      <sz val="9"/>
      <color rgb="FFE91E63"/>
      <name val="Noto Sans CJK SC"/>
      <family val="2"/>
      <charset val="1"/>
    </font>
    <font>
      <b/>
      <sz val="10"/>
      <color rgb="FF8B6914"/>
      <name val="Noto Sans CJK SC"/>
      <family val="2"/>
      <charset val="1"/>
    </font>
    <font>
      <b/>
      <sz val="10"/>
      <color rgb="FFE91E63"/>
      <name val="Arial"/>
      <family val="2"/>
    </font>
    <font>
      <sz val="10"/>
      <color rgb="FFC0392B"/>
      <name val="Arial"/>
      <family val="2"/>
    </font>
    <font>
      <b/>
      <sz val="10"/>
      <color rgb="FFC0392B"/>
      <name val="Arial"/>
      <family val="2"/>
    </font>
    <font>
      <sz val="9"/>
      <color rgb="FF217346"/>
      <name val="Arial"/>
      <family val="2"/>
    </font>
    <font>
      <sz val="9"/>
      <color rgb="FF6A1B9A"/>
      <name val="Arial"/>
      <family val="2"/>
    </font>
    <font>
      <sz val="9"/>
      <color rgb="FF6A1B9A"/>
      <name val="Noto Sans CJK SC"/>
      <family val="2"/>
    </font>
    <font>
      <b/>
      <sz val="12"/>
      <color rgb="FFFFFFFF"/>
      <name val="Noto Sans CJK SC"/>
      <family val="2"/>
      <charset val="1"/>
    </font>
    <font>
      <sz val="10"/>
      <color rgb="FF2C3E50"/>
      <name val="Noto Sans CJK SC"/>
      <family val="2"/>
      <charset val="1"/>
    </font>
    <font>
      <sz val="10"/>
      <color rgb="FF2C3E50"/>
      <name val="Noto Sans CJK SC"/>
      <family val="2"/>
    </font>
    <font>
      <b/>
      <sz val="11"/>
      <color rgb="FFC9A84C"/>
      <name val="Noto Sans CJK SC"/>
      <family val="2"/>
      <charset val="1"/>
    </font>
    <font>
      <b/>
      <sz val="10"/>
      <color rgb="FF1B2A4A"/>
      <name val="Noto Sans CJK SC"/>
      <family val="2"/>
    </font>
    <font>
      <b/>
      <sz val="10"/>
      <color rgb="FF2C3E50"/>
      <name val="Noto Sans CJK SC"/>
      <family val="2"/>
      <charset val="1"/>
    </font>
    <font>
      <b/>
      <sz val="10"/>
      <color rgb="FF2C3E50"/>
      <name val="Arial"/>
      <family val="2"/>
    </font>
    <font>
      <b/>
      <sz val="10"/>
      <color rgb="FF2C3E50"/>
      <name val="Noto Sans CJK SC"/>
      <family val="2"/>
    </font>
    <font>
      <b/>
      <sz val="9"/>
      <color rgb="FF8B6914"/>
      <name val="Noto Sans CJK SC"/>
      <family val="2"/>
      <charset val="1"/>
    </font>
    <font>
      <b/>
      <sz val="9"/>
      <color rgb="FFC0392B"/>
      <name val="Noto Sans CJK SC"/>
      <family val="2"/>
      <charset val="1"/>
    </font>
    <font>
      <b/>
      <sz val="9"/>
      <color rgb="FFC0392B"/>
      <name val="Arial"/>
      <family val="2"/>
    </font>
    <font>
      <b/>
      <sz val="9"/>
      <color rgb="FFC0392B"/>
      <name val="Noto Sans CJK SC"/>
      <family val="2"/>
    </font>
    <font>
      <b/>
      <sz val="9"/>
      <color rgb="FF2491AA"/>
      <name val="Noto Sans CJK SC"/>
      <family val="2"/>
      <charset val="1"/>
    </font>
    <font>
      <b/>
      <sz val="9"/>
      <color rgb="FF217346"/>
      <name val="Arial"/>
      <family val="2"/>
    </font>
    <font>
      <b/>
      <sz val="9"/>
      <color rgb="FF217346"/>
      <name val="Noto Sans CJK SC"/>
      <family val="2"/>
    </font>
    <font>
      <b/>
      <sz val="9"/>
      <color rgb="FF6A1B9A"/>
      <name val="Arial"/>
      <family val="2"/>
    </font>
    <font>
      <b/>
      <sz val="9"/>
      <color rgb="FF6A1B9A"/>
      <name val="Noto Sans CJK SC"/>
      <family val="2"/>
    </font>
    <font>
      <b/>
      <sz val="13"/>
      <color rgb="FFFFFFFF"/>
      <name val="Arial"/>
      <family val="2"/>
    </font>
    <font>
      <b/>
      <sz val="13"/>
      <color rgb="FFFFFFFF"/>
      <name val="Noto Sans CJK SC"/>
      <family val="2"/>
    </font>
    <font>
      <b/>
      <sz val="10"/>
      <color rgb="FFC0392B"/>
      <name val="Noto Sans CJK SC"/>
      <family val="2"/>
      <charset val="1"/>
    </font>
    <font>
      <sz val="10"/>
      <name val="Noto Sans CJK SC"/>
      <family val="2"/>
    </font>
    <font>
      <sz val="10"/>
      <color rgb="FF856404"/>
      <name val="Calibri"/>
      <family val="2"/>
    </font>
    <font>
      <sz val="10"/>
      <color rgb="FF666666"/>
      <name val="Noto Sans CJK SC"/>
      <family val="2"/>
      <charset val="1"/>
    </font>
    <font>
      <b/>
      <sz val="15"/>
      <color rgb="FFFFFFFF"/>
      <name val="Arial"/>
      <family val="2"/>
    </font>
    <font>
      <b/>
      <sz val="15"/>
      <color rgb="FFFFFFFF"/>
      <name val="Noto Sans CJK SC"/>
      <family val="2"/>
    </font>
    <font>
      <sz val="9"/>
      <color rgb="FF8B6914"/>
      <name val="Arial"/>
      <family val="2"/>
    </font>
    <font>
      <sz val="9"/>
      <color rgb="FF8B6914"/>
      <name val="Noto Sans CJK SC"/>
      <family val="2"/>
    </font>
    <font>
      <b/>
      <sz val="12"/>
      <color rgb="FFFFFFFF"/>
      <name val="Calibri"/>
      <family val="2"/>
    </font>
    <font>
      <b/>
      <sz val="10"/>
      <color rgb="FF856404"/>
      <name val="Noto Sans CJK SC"/>
      <family val="2"/>
    </font>
    <font>
      <sz val="9"/>
      <color rgb="FF856404"/>
      <name val="Calibri"/>
      <family val="2"/>
    </font>
    <font>
      <sz val="9"/>
      <color rgb="FF856404"/>
      <name val="Noto Sans CJK SC"/>
      <family val="2"/>
    </font>
    <font>
      <sz val="9"/>
      <color rgb="FF444444"/>
      <name val="Noto Sans CJK SC"/>
      <family val="2"/>
      <charset val="1"/>
    </font>
    <font>
      <sz val="10"/>
      <color rgb="FF155724"/>
      <name val="Noto Sans CJK SC"/>
      <family val="2"/>
    </font>
    <font>
      <b/>
      <sz val="9"/>
      <color rgb="FFCFD8DC"/>
      <name val="Calibri"/>
      <family val="2"/>
    </font>
    <font>
      <b/>
      <sz val="9"/>
      <color rgb="FFCFD8DC"/>
      <name val="Noto Sans CJK SC"/>
      <family val="2"/>
    </font>
    <font>
      <b/>
      <sz val="9"/>
      <color rgb="FFC8E6C9"/>
      <name val="Calibri"/>
      <family val="2"/>
    </font>
    <font>
      <b/>
      <sz val="9"/>
      <color rgb="FFC8E6C9"/>
      <name val="Noto Sans CJK SC"/>
      <family val="2"/>
    </font>
    <font>
      <b/>
      <sz val="9"/>
      <color rgb="FFFFFFFF"/>
      <name val="Calibri"/>
      <family val="2"/>
    </font>
    <font>
      <b/>
      <sz val="9"/>
      <color rgb="FFFFFFFF"/>
      <name val="Noto Sans CJK SC"/>
      <family val="2"/>
    </font>
    <font>
      <b/>
      <sz val="9"/>
      <color rgb="FF90A4AE"/>
      <name val="Calibri"/>
      <family val="2"/>
    </font>
    <font>
      <b/>
      <sz val="9"/>
      <color rgb="FF90A4AE"/>
      <name val="Noto Sans CJK SC"/>
      <family val="2"/>
    </font>
    <font>
      <i/>
      <sz val="9"/>
      <color rgb="FFAAAAAA"/>
      <name val="Noto Sans CJK SC"/>
      <family val="2"/>
      <charset val="1"/>
    </font>
    <font>
      <sz val="9"/>
      <color rgb="FFBBBBBB"/>
      <name val="Calibri"/>
      <family val="2"/>
    </font>
    <font>
      <sz val="9"/>
      <color rgb="FF90A4AE"/>
      <name val="Calibri"/>
      <family val="2"/>
    </font>
    <font>
      <b/>
      <sz val="10"/>
      <color rgb="FF1B2A4A"/>
      <name val="Calibri"/>
      <family val="2"/>
    </font>
    <font>
      <sz val="8"/>
      <color rgb="FF666666"/>
      <name val="Calibri"/>
      <family val="2"/>
    </font>
    <font>
      <sz val="8"/>
      <color rgb="FF666666"/>
      <name val="Noto Sans CJK SC"/>
      <family val="2"/>
    </font>
    <font>
      <sz val="10"/>
      <color rgb="FF1B2A4A"/>
      <name val="Noto Sans CJK SC"/>
      <family val="2"/>
      <charset val="1"/>
    </font>
    <font>
      <sz val="9"/>
      <color rgb="FF2E7D32"/>
      <name val="Noto Sans CJK SC"/>
      <family val="2"/>
      <charset val="1"/>
    </font>
    <font>
      <sz val="9"/>
      <color rgb="FFCCCCCC"/>
      <name val="Calibri"/>
      <family val="2"/>
    </font>
    <font>
      <sz val="9"/>
      <color rgb="FF155724"/>
      <name val="Noto Sans CJK SC"/>
      <family val="2"/>
    </font>
    <font>
      <b/>
      <sz val="10"/>
      <color rgb="FF155724"/>
      <name val="Noto Sans CJK SC"/>
      <family val="2"/>
      <charset val="1"/>
    </font>
    <font>
      <sz val="9"/>
      <color rgb="FF155724"/>
      <name val="Noto Sans CJK SC"/>
      <family val="2"/>
      <charset val="1"/>
    </font>
    <font>
      <sz val="9"/>
      <color rgb="FF888888"/>
      <name val="Calibri"/>
      <family val="2"/>
    </font>
    <font>
      <sz val="9"/>
      <color rgb="FF8E44AD"/>
      <name val="Noto Sans CJK SC"/>
      <family val="2"/>
      <charset val="1"/>
    </font>
    <font>
      <b/>
      <sz val="9"/>
      <color rgb="FF155724"/>
      <name val="Noto Sans CJK SC"/>
      <family val="2"/>
      <charset val="1"/>
    </font>
    <font>
      <b/>
      <sz val="9"/>
      <color rgb="FF1B6B9A"/>
      <name val="Noto Sans CJK SC"/>
      <family val="2"/>
      <charset val="1"/>
    </font>
    <font>
      <sz val="9"/>
      <color rgb="FF1B6B9A"/>
      <name val="Calibri"/>
      <family val="2"/>
    </font>
    <font>
      <sz val="9"/>
      <color rgb="FF1B6B9A"/>
      <name val="Noto Sans CJK SC"/>
      <family val="2"/>
    </font>
    <font>
      <b/>
      <sz val="9"/>
      <color rgb="FF1B6B9A"/>
      <name val="Calibri"/>
      <family val="2"/>
    </font>
    <font>
      <b/>
      <sz val="9"/>
      <color rgb="FFE65C00"/>
      <name val="Noto Sans CJK SC"/>
      <family val="2"/>
      <charset val="1"/>
    </font>
    <font>
      <sz val="9"/>
      <color rgb="FFE65C00"/>
      <name val="Calibri"/>
      <family val="2"/>
    </font>
    <font>
      <sz val="9"/>
      <color rgb="FFE65C00"/>
      <name val="Noto Sans CJK SC"/>
      <family val="2"/>
    </font>
    <font>
      <b/>
      <sz val="9"/>
      <color rgb="FFE65C00"/>
      <name val="Calibri"/>
      <family val="2"/>
    </font>
    <font>
      <sz val="9"/>
      <color rgb="FFC0392B"/>
      <name val="Noto Sans CJK SC"/>
      <family val="2"/>
    </font>
    <font>
      <b/>
      <sz val="9"/>
      <color rgb="FFC0392B"/>
      <name val="Calibri"/>
      <family val="2"/>
    </font>
    <font>
      <b/>
      <sz val="9"/>
      <color rgb="FF6A3580"/>
      <name val="Noto Sans CJK SC"/>
      <family val="2"/>
      <charset val="1"/>
    </font>
    <font>
      <sz val="9"/>
      <color rgb="FF6A3580"/>
      <name val="Calibri"/>
      <family val="2"/>
    </font>
    <font>
      <sz val="9"/>
      <color rgb="FF6A3580"/>
      <name val="Noto Sans CJK SC"/>
      <family val="2"/>
    </font>
    <font>
      <sz val="10"/>
      <color rgb="FFCCCCCC"/>
      <name val="Calibri"/>
      <family val="2"/>
    </font>
    <font>
      <b/>
      <sz val="9"/>
      <color rgb="FF6A3580"/>
      <name val="Calibri"/>
      <family val="2"/>
    </font>
    <font>
      <b/>
      <sz val="9"/>
      <color rgb="FF1B2A4A"/>
      <name val="Calibri"/>
      <family val="2"/>
    </font>
    <font>
      <sz val="10"/>
      <color rgb="FFFF0000"/>
      <name val="Noto Sans CJK SC"/>
      <family val="2"/>
      <charset val="1"/>
    </font>
    <font>
      <sz val="6"/>
      <name val="ＭＳ Ｐゴシック"/>
      <family val="3"/>
      <charset val="128"/>
    </font>
    <font>
      <sz val="10"/>
      <color rgb="FFFF0000"/>
      <name val="Noto Sans CJK SC"/>
      <family val="3"/>
      <charset val="128"/>
    </font>
    <font>
      <sz val="10"/>
      <color rgb="FFFF0000"/>
      <name val="ＭＳ ゴシック"/>
      <family val="3"/>
      <charset val="128"/>
    </font>
    <font>
      <sz val="10"/>
      <color theme="1"/>
      <name val="Noto Sans CJK SC"/>
      <family val="2"/>
      <charset val="1"/>
    </font>
    <font>
      <sz val="9"/>
      <color rgb="FFFF0000"/>
      <name val="Calibri"/>
      <family val="2"/>
    </font>
  </fonts>
  <fills count="64">
    <fill>
      <patternFill patternType="none"/>
    </fill>
    <fill>
      <patternFill patternType="gray125"/>
    </fill>
    <fill>
      <patternFill patternType="solid">
        <fgColor rgb="FF1B294B"/>
        <bgColor rgb="FF1B2A4A"/>
      </patternFill>
    </fill>
    <fill>
      <patternFill patternType="solid">
        <fgColor rgb="FFEAF0FB"/>
        <bgColor rgb="FFE8F0FA"/>
      </patternFill>
    </fill>
    <fill>
      <patternFill patternType="solid">
        <fgColor rgb="FFE8F5E9"/>
        <bgColor rgb="FFECEFF1"/>
      </patternFill>
    </fill>
    <fill>
      <patternFill patternType="solid">
        <fgColor rgb="FFE0F7FA"/>
        <bgColor rgb="FFDFF2F7"/>
      </patternFill>
    </fill>
    <fill>
      <patternFill patternType="solid">
        <fgColor rgb="FFFFF3E0"/>
        <bgColor rgb="FFFFF5E0"/>
      </patternFill>
    </fill>
    <fill>
      <patternFill patternType="solid">
        <fgColor rgb="FFFFF9C4"/>
        <bgColor rgb="FFFFF3CD"/>
      </patternFill>
    </fill>
    <fill>
      <patternFill patternType="solid">
        <fgColor rgb="FFF3E5F5"/>
        <bgColor rgb="FFEFE8F5"/>
      </patternFill>
    </fill>
    <fill>
      <patternFill patternType="solid">
        <fgColor rgb="FF2E5E84"/>
        <bgColor rgb="FF2D6A6A"/>
      </patternFill>
    </fill>
    <fill>
      <patternFill patternType="mediumGray">
        <fgColor rgb="FF087354"/>
        <bgColor rgb="FF207542"/>
      </patternFill>
    </fill>
    <fill>
      <patternFill patternType="solid">
        <fgColor rgb="FFF8FBFA"/>
        <bgColor rgb="FFF5F7FA"/>
      </patternFill>
    </fill>
    <fill>
      <patternFill patternType="solid">
        <fgColor rgb="FF1668AE"/>
        <bgColor rgb="FF2E5E84"/>
      </patternFill>
    </fill>
    <fill>
      <patternFill patternType="solid">
        <fgColor rgb="FF6A1B9A"/>
        <bgColor rgb="FF49148B"/>
      </patternFill>
    </fill>
    <fill>
      <patternFill patternType="solid">
        <fgColor rgb="FF886706"/>
        <bgColor rgb="FF575A59"/>
      </patternFill>
    </fill>
    <fill>
      <patternFill patternType="solid">
        <fgColor rgb="FFDFF2F7"/>
        <bgColor rgb="FFE0F7FA"/>
      </patternFill>
    </fill>
    <fill>
      <patternFill patternType="darkGray">
        <fgColor rgb="FFFFFDE7"/>
        <bgColor rgb="FFFFF8E1"/>
      </patternFill>
    </fill>
    <fill>
      <patternFill patternType="darkGray">
        <fgColor rgb="FF2A3C51"/>
        <bgColor rgb="FF1B2A4A"/>
      </patternFill>
    </fill>
    <fill>
      <patternFill patternType="solid">
        <fgColor rgb="FFF0F6FB"/>
        <bgColor rgb="FFF5F7FA"/>
      </patternFill>
    </fill>
    <fill>
      <patternFill patternType="solid">
        <fgColor rgb="FFF8FBFA"/>
        <bgColor rgb="FFF5F7FA"/>
      </patternFill>
    </fill>
    <fill>
      <patternFill patternType="darkGray">
        <fgColor rgb="FFE8F5E9"/>
        <bgColor rgb="FFECEFF1"/>
      </patternFill>
    </fill>
    <fill>
      <patternFill patternType="solid">
        <fgColor rgb="FFFFF5E0"/>
        <bgColor rgb="FFFFF3E0"/>
      </patternFill>
    </fill>
    <fill>
      <patternFill patternType="solid">
        <fgColor rgb="FFFDEDEC"/>
        <bgColor rgb="FFFFF0EC"/>
      </patternFill>
    </fill>
    <fill>
      <patternFill patternType="solid">
        <fgColor rgb="FFF5F7FA"/>
        <bgColor rgb="FFF0F6FB"/>
      </patternFill>
    </fill>
    <fill>
      <patternFill patternType="solid">
        <fgColor rgb="FFFCE4EC"/>
        <bgColor rgb="FFFAE5E5"/>
      </patternFill>
    </fill>
    <fill>
      <patternFill patternType="solid">
        <fgColor rgb="FFFFF3CD"/>
        <bgColor rgb="FFFFF9C4"/>
      </patternFill>
    </fill>
    <fill>
      <patternFill patternType="solid">
        <fgColor rgb="FF1B2A4A"/>
        <bgColor rgb="FF1B294B"/>
      </patternFill>
    </fill>
    <fill>
      <patternFill patternType="solid">
        <fgColor rgb="FFFFFFFF"/>
        <bgColor rgb="FFF8FBFA"/>
      </patternFill>
    </fill>
    <fill>
      <patternFill patternType="solid">
        <fgColor rgb="FFF0F2F6"/>
        <bgColor rgb="FFF0F6FB"/>
      </patternFill>
    </fill>
    <fill>
      <patternFill patternType="solid">
        <fgColor rgb="FFFFFDE7"/>
        <bgColor rgb="FFFFF8E1"/>
      </patternFill>
    </fill>
    <fill>
      <patternFill patternType="solid">
        <fgColor rgb="FFFDDDD7"/>
        <bgColor rgb="FFFAE5E5"/>
      </patternFill>
    </fill>
    <fill>
      <patternFill patternType="solid">
        <fgColor rgb="FFE8EDF3"/>
        <bgColor rgb="FFECEFF1"/>
      </patternFill>
    </fill>
    <fill>
      <patternFill patternType="solid">
        <fgColor rgb="FF2D6A6A"/>
        <bgColor rgb="FF2E5E84"/>
      </patternFill>
    </fill>
    <fill>
      <patternFill patternType="solid">
        <fgColor rgb="FFEDE7F6"/>
        <bgColor rgb="FFEFE8F5"/>
      </patternFill>
    </fill>
    <fill>
      <patternFill patternType="solid">
        <fgColor rgb="FF49148B"/>
        <bgColor rgb="FF6A1B9A"/>
      </patternFill>
    </fill>
    <fill>
      <patternFill patternType="solid">
        <fgColor rgb="FFE91E63"/>
        <bgColor rgb="FFC0392B"/>
      </patternFill>
    </fill>
    <fill>
      <patternFill patternType="solid">
        <fgColor rgb="FF2091A9"/>
        <bgColor rgb="FF1668AE"/>
      </patternFill>
    </fill>
    <fill>
      <patternFill patternType="darkGray">
        <fgColor rgb="FFC0392B"/>
        <bgColor rgb="FFA93226"/>
      </patternFill>
    </fill>
    <fill>
      <patternFill patternType="mediumGray">
        <fgColor rgb="FF8D1C26"/>
        <bgColor rgb="FFA93226"/>
      </patternFill>
    </fill>
    <fill>
      <patternFill patternType="darkGray">
        <fgColor rgb="FFDE3F04"/>
        <bgColor rgb="FFC0392B"/>
      </patternFill>
    </fill>
    <fill>
      <patternFill patternType="solid">
        <fgColor rgb="FFCDCCCD"/>
        <bgColor rgb="FFCCCCCC"/>
      </patternFill>
    </fill>
    <fill>
      <patternFill patternType="darkGray">
        <fgColor rgb="FF165A23"/>
        <bgColor rgb="FF207542"/>
      </patternFill>
    </fill>
    <fill>
      <patternFill patternType="solid">
        <fgColor rgb="FF2F485F"/>
        <bgColor rgb="FF2A3C51"/>
      </patternFill>
    </fill>
    <fill>
      <patternFill patternType="darkGray">
        <fgColor rgb="FF575A59"/>
        <bgColor rgb="FF2F485F"/>
      </patternFill>
    </fill>
    <fill>
      <patternFill patternType="solid">
        <fgColor rgb="FF575A59"/>
        <bgColor rgb="FF2F485F"/>
      </patternFill>
    </fill>
    <fill>
      <patternFill patternType="darkGray">
        <fgColor rgb="FF2A3C51"/>
        <bgColor rgb="FF2F485F"/>
      </patternFill>
    </fill>
    <fill>
      <patternFill patternType="solid">
        <fgColor rgb="FFECEFF1"/>
        <bgColor rgb="FFE8EDF3"/>
      </patternFill>
    </fill>
    <fill>
      <patternFill patternType="darkGray">
        <fgColor rgb="FFF5F7FA"/>
        <bgColor rgb="FFF0F6FB"/>
      </patternFill>
    </fill>
    <fill>
      <patternFill patternType="solid">
        <fgColor rgb="FF72368A"/>
        <bgColor rgb="FF6A1B9A"/>
      </patternFill>
    </fill>
    <fill>
      <patternFill patternType="solid">
        <fgColor rgb="FF207542"/>
        <bgColor rgb="FF087354"/>
      </patternFill>
    </fill>
    <fill>
      <patternFill patternType="darkGray">
        <fgColor rgb="FF2F485F"/>
        <bgColor rgb="FF2A3C51"/>
      </patternFill>
    </fill>
    <fill>
      <patternFill patternType="mediumGray">
        <fgColor rgb="FFF0F6FB"/>
        <bgColor rgb="FFF0F2F6"/>
      </patternFill>
    </fill>
    <fill>
      <patternFill patternType="solid">
        <fgColor rgb="FFE8F0FA"/>
        <bgColor rgb="FFEAF0FB"/>
      </patternFill>
    </fill>
    <fill>
      <patternFill patternType="solid">
        <fgColor rgb="FFEDE4F5"/>
        <bgColor rgb="FFEDE7F6"/>
      </patternFill>
    </fill>
    <fill>
      <patternFill patternType="solid">
        <fgColor rgb="FFEFE8F5"/>
        <bgColor rgb="FFEDE7F6"/>
      </patternFill>
    </fill>
    <fill>
      <patternFill patternType="solid">
        <fgColor rgb="FFF5EEF8"/>
        <bgColor rgb="FFF0F2F6"/>
      </patternFill>
    </fill>
    <fill>
      <patternFill patternType="solid">
        <fgColor rgb="FFA93226"/>
        <bgColor rgb="FFC0392B"/>
      </patternFill>
    </fill>
    <fill>
      <patternFill patternType="mediumGray">
        <fgColor rgb="FF575A59"/>
        <bgColor rgb="FF2E5E84"/>
      </patternFill>
    </fill>
    <fill>
      <patternFill patternType="solid">
        <fgColor rgb="FFFFF0EC"/>
        <bgColor rgb="FFFDEDEC"/>
      </patternFill>
    </fill>
    <fill>
      <patternFill patternType="darkGray">
        <fgColor rgb="FFF0F6FB"/>
        <bgColor rgb="FFEAF0FB"/>
      </patternFill>
    </fill>
    <fill>
      <patternFill patternType="solid">
        <fgColor rgb="FFFAE5E5"/>
        <bgColor rgb="FFFCE4EC"/>
      </patternFill>
    </fill>
    <fill>
      <patternFill patternType="solid">
        <fgColor rgb="FFFFF8E1"/>
        <bgColor rgb="FFFFF5E0"/>
      </patternFill>
    </fill>
    <fill>
      <patternFill patternType="mediumGray">
        <fgColor rgb="FFF0F6FB"/>
        <bgColor rgb="FFFFFF00"/>
      </patternFill>
    </fill>
    <fill>
      <patternFill patternType="solid">
        <fgColor rgb="FFFFFF00"/>
        <bgColor rgb="FFECEFF1"/>
      </patternFill>
    </fill>
  </fills>
  <borders count="9">
    <border>
      <left/>
      <right/>
      <top/>
      <bottom/>
      <diagonal/>
    </border>
    <border>
      <left style="thin">
        <color rgb="FFCDCCCD"/>
      </left>
      <right/>
      <top style="thin">
        <color rgb="FFCDCCCD"/>
      </top>
      <bottom style="thin">
        <color rgb="FFCDCCCD"/>
      </bottom>
      <diagonal/>
    </border>
    <border>
      <left style="thin">
        <color rgb="FFCDCCCD"/>
      </left>
      <right style="thin">
        <color rgb="FFCDCCCD"/>
      </right>
      <top style="thin">
        <color rgb="FFCDCCCD"/>
      </top>
      <bottom style="thin">
        <color rgb="FFCDCCC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DCCCD"/>
      </top>
      <bottom style="thin">
        <color rgb="FFCDCCCD"/>
      </bottom>
      <diagonal/>
    </border>
    <border>
      <left/>
      <right style="thin">
        <color rgb="FFCDCCCD"/>
      </right>
      <top style="thin">
        <color rgb="FFCDCCCD"/>
      </top>
      <bottom style="thin">
        <color rgb="FFCDCCCD"/>
      </bottom>
      <diagonal/>
    </border>
    <border>
      <left style="thin">
        <color rgb="FFDBE3DD"/>
      </left>
      <right style="thin">
        <color rgb="FFDBE3DD"/>
      </right>
      <top style="thin">
        <color rgb="FFDBE3DD"/>
      </top>
      <bottom style="thin">
        <color rgb="FFDBE3DD"/>
      </bottom>
      <diagonal/>
    </border>
    <border>
      <left/>
      <right style="thin">
        <color rgb="FFDBE3DD"/>
      </right>
      <top/>
      <bottom/>
      <diagonal/>
    </border>
    <border>
      <left style="thin">
        <color rgb="FFCDCCCD"/>
      </left>
      <right/>
      <top style="thin">
        <color rgb="FFCDCCCD"/>
      </top>
      <bottom/>
      <diagonal/>
    </border>
  </borders>
  <cellStyleXfs count="1">
    <xf numFmtId="0" fontId="0" fillId="0" borderId="0"/>
  </cellStyleXfs>
  <cellXfs count="703">
    <xf numFmtId="0" fontId="0" fillId="0" borderId="0" xfId="0"/>
    <xf numFmtId="0" fontId="36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7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8" fillId="3" borderId="2" xfId="0" applyNumberFormat="1" applyFont="1" applyFill="1" applyBorder="1" applyAlignment="1">
      <alignment horizontal="right" vertical="center" wrapText="1"/>
    </xf>
    <xf numFmtId="0" fontId="0" fillId="4" borderId="2" xfId="0" applyFill="1" applyBorder="1"/>
    <xf numFmtId="0" fontId="9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right" vertical="center" wrapText="1"/>
    </xf>
    <xf numFmtId="0" fontId="0" fillId="5" borderId="2" xfId="0" applyFill="1" applyBorder="1"/>
    <xf numFmtId="0" fontId="11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right" vertical="center" wrapText="1"/>
    </xf>
    <xf numFmtId="0" fontId="0" fillId="6" borderId="2" xfId="0" applyFill="1" applyBorder="1"/>
    <xf numFmtId="0" fontId="12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3" fontId="13" fillId="6" borderId="2" xfId="0" applyNumberFormat="1" applyFont="1" applyFill="1" applyBorder="1" applyAlignment="1">
      <alignment horizontal="right" vertical="center" wrapText="1"/>
    </xf>
    <xf numFmtId="0" fontId="0" fillId="7" borderId="2" xfId="0" applyFill="1" applyBorder="1"/>
    <xf numFmtId="0" fontId="14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3" fontId="14" fillId="7" borderId="2" xfId="0" applyNumberFormat="1" applyFont="1" applyFill="1" applyBorder="1" applyAlignment="1">
      <alignment horizontal="right" vertical="center" wrapText="1"/>
    </xf>
    <xf numFmtId="0" fontId="0" fillId="8" borderId="2" xfId="0" applyFill="1" applyBorder="1"/>
    <xf numFmtId="0" fontId="15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3" fontId="16" fillId="8" borderId="2" xfId="0" applyNumberFormat="1" applyFont="1" applyFill="1" applyBorder="1" applyAlignment="1">
      <alignment horizontal="right" vertical="center" wrapText="1"/>
    </xf>
    <xf numFmtId="0" fontId="0" fillId="2" borderId="2" xfId="0" applyFill="1" applyBorder="1"/>
    <xf numFmtId="0" fontId="6" fillId="2" borderId="2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center" vertical="center" wrapText="1"/>
    </xf>
    <xf numFmtId="3" fontId="18" fillId="2" borderId="2" xfId="0" applyNumberFormat="1" applyFont="1" applyFill="1" applyBorder="1" applyAlignment="1">
      <alignment horizontal="right" vertical="center" wrapText="1"/>
    </xf>
    <xf numFmtId="0" fontId="19" fillId="2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0" fillId="11" borderId="2" xfId="0" applyFill="1" applyBorder="1"/>
    <xf numFmtId="0" fontId="22" fillId="11" borderId="2" xfId="0" applyFont="1" applyFill="1" applyBorder="1" applyAlignment="1">
      <alignment horizontal="left" vertical="center" wrapText="1"/>
    </xf>
    <xf numFmtId="0" fontId="20" fillId="11" borderId="2" xfId="0" applyFont="1" applyFill="1" applyBorder="1" applyAlignment="1">
      <alignment horizontal="center" vertical="center" wrapText="1"/>
    </xf>
    <xf numFmtId="3" fontId="23" fillId="11" borderId="2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176" fontId="10" fillId="4" borderId="2" xfId="0" applyNumberFormat="1" applyFont="1" applyFill="1" applyBorder="1" applyAlignment="1">
      <alignment horizontal="right" vertical="center" wrapText="1"/>
    </xf>
    <xf numFmtId="2" fontId="10" fillId="4" borderId="2" xfId="0" applyNumberFormat="1" applyFont="1" applyFill="1" applyBorder="1" applyAlignment="1">
      <alignment horizontal="right" vertical="center" wrapText="1"/>
    </xf>
    <xf numFmtId="0" fontId="16" fillId="8" borderId="2" xfId="0" applyFont="1" applyFill="1" applyBorder="1" applyAlignment="1">
      <alignment horizontal="left" vertical="center" wrapText="1"/>
    </xf>
    <xf numFmtId="0" fontId="20" fillId="8" borderId="2" xfId="0" applyFont="1" applyFill="1" applyBorder="1" applyAlignment="1">
      <alignment horizontal="center" vertical="center" wrapText="1"/>
    </xf>
    <xf numFmtId="9" fontId="16" fillId="8" borderId="2" xfId="0" applyNumberFormat="1" applyFont="1" applyFill="1" applyBorder="1" applyAlignment="1">
      <alignment horizontal="right" vertical="center" wrapText="1"/>
    </xf>
    <xf numFmtId="0" fontId="26" fillId="5" borderId="2" xfId="0" applyFont="1" applyFill="1" applyBorder="1" applyAlignment="1">
      <alignment horizontal="left" vertical="center" wrapText="1"/>
    </xf>
    <xf numFmtId="0" fontId="27" fillId="5" borderId="2" xfId="0" applyFont="1" applyFill="1" applyBorder="1" applyAlignment="1">
      <alignment horizontal="left" vertical="center" wrapText="1"/>
    </xf>
    <xf numFmtId="3" fontId="26" fillId="5" borderId="2" xfId="0" applyNumberFormat="1" applyFont="1" applyFill="1" applyBorder="1" applyAlignment="1">
      <alignment horizontal="right" vertical="center" wrapText="1"/>
    </xf>
    <xf numFmtId="3" fontId="28" fillId="3" borderId="2" xfId="0" applyNumberFormat="1" applyFont="1" applyFill="1" applyBorder="1" applyAlignment="1">
      <alignment horizontal="right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9" fillId="4" borderId="2" xfId="0" applyFont="1" applyFill="1" applyBorder="1" applyAlignment="1">
      <alignment horizontal="left" vertical="center" wrapText="1"/>
    </xf>
    <xf numFmtId="3" fontId="26" fillId="4" borderId="2" xfId="0" applyNumberFormat="1" applyFont="1" applyFill="1" applyBorder="1" applyAlignment="1">
      <alignment horizontal="right" vertical="center" wrapText="1"/>
    </xf>
    <xf numFmtId="0" fontId="26" fillId="15" borderId="2" xfId="0" applyFont="1" applyFill="1" applyBorder="1" applyAlignment="1">
      <alignment horizontal="left" vertical="center" wrapText="1"/>
    </xf>
    <xf numFmtId="0" fontId="30" fillId="15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 wrapText="1"/>
    </xf>
    <xf numFmtId="3" fontId="26" fillId="15" borderId="2" xfId="0" applyNumberFormat="1" applyFont="1" applyFill="1" applyBorder="1" applyAlignment="1">
      <alignment horizontal="right" vertical="center" wrapText="1"/>
    </xf>
    <xf numFmtId="0" fontId="26" fillId="6" borderId="2" xfId="0" applyFont="1" applyFill="1" applyBorder="1" applyAlignment="1">
      <alignment horizontal="left" vertical="center" wrapText="1"/>
    </xf>
    <xf numFmtId="0" fontId="31" fillId="6" borderId="2" xfId="0" applyFont="1" applyFill="1" applyBorder="1" applyAlignment="1">
      <alignment horizontal="left" vertical="center" wrapText="1"/>
    </xf>
    <xf numFmtId="3" fontId="26" fillId="6" borderId="2" xfId="0" applyNumberFormat="1" applyFont="1" applyFill="1" applyBorder="1" applyAlignment="1">
      <alignment horizontal="right" vertical="center" wrapText="1"/>
    </xf>
    <xf numFmtId="0" fontId="26" fillId="7" borderId="2" xfId="0" applyFont="1" applyFill="1" applyBorder="1" applyAlignment="1">
      <alignment horizontal="left" vertical="center" wrapText="1"/>
    </xf>
    <xf numFmtId="0" fontId="32" fillId="7" borderId="2" xfId="0" applyFont="1" applyFill="1" applyBorder="1" applyAlignment="1">
      <alignment horizontal="left" vertical="center" wrapText="1"/>
    </xf>
    <xf numFmtId="3" fontId="26" fillId="7" borderId="2" xfId="0" applyNumberFormat="1" applyFont="1" applyFill="1" applyBorder="1" applyAlignment="1">
      <alignment horizontal="right" vertical="center" wrapText="1"/>
    </xf>
    <xf numFmtId="0" fontId="26" fillId="8" borderId="2" xfId="0" applyFont="1" applyFill="1" applyBorder="1" applyAlignment="1">
      <alignment horizontal="left" vertical="center" wrapText="1"/>
    </xf>
    <xf numFmtId="0" fontId="33" fillId="8" borderId="2" xfId="0" applyFont="1" applyFill="1" applyBorder="1" applyAlignment="1">
      <alignment horizontal="left" vertical="center" wrapText="1"/>
    </xf>
    <xf numFmtId="3" fontId="26" fillId="8" borderId="2" xfId="0" applyNumberFormat="1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38" fillId="9" borderId="0" xfId="0" applyFont="1" applyFill="1" applyAlignment="1">
      <alignment horizontal="center" vertical="center"/>
    </xf>
    <xf numFmtId="0" fontId="39" fillId="0" borderId="0" xfId="0" applyFont="1" applyAlignment="1">
      <alignment horizontal="left" vertical="center"/>
    </xf>
    <xf numFmtId="3" fontId="39" fillId="0" borderId="0" xfId="0" applyNumberFormat="1" applyFont="1" applyAlignment="1">
      <alignment horizontal="center" vertical="center"/>
    </xf>
    <xf numFmtId="3" fontId="40" fillId="18" borderId="0" xfId="0" applyNumberFormat="1" applyFont="1" applyFill="1" applyAlignment="1">
      <alignment horizontal="center" vertical="center"/>
    </xf>
    <xf numFmtId="3" fontId="40" fillId="19" borderId="0" xfId="0" applyNumberFormat="1" applyFont="1" applyFill="1" applyAlignment="1">
      <alignment horizontal="center" vertical="center"/>
    </xf>
    <xf numFmtId="3" fontId="40" fillId="20" borderId="0" xfId="0" applyNumberFormat="1" applyFont="1" applyFill="1" applyAlignment="1">
      <alignment horizontal="center" vertical="center"/>
    </xf>
    <xf numFmtId="0" fontId="41" fillId="0" borderId="0" xfId="0" applyFont="1" applyAlignment="1">
      <alignment horizontal="left" vertical="center"/>
    </xf>
    <xf numFmtId="3" fontId="42" fillId="21" borderId="0" xfId="0" applyNumberFormat="1" applyFont="1" applyFill="1" applyAlignment="1">
      <alignment horizontal="center" vertical="center"/>
    </xf>
    <xf numFmtId="3" fontId="42" fillId="19" borderId="0" xfId="0" applyNumberFormat="1" applyFont="1" applyFill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3" fontId="46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176" fontId="48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76" fontId="49" fillId="0" borderId="0" xfId="0" applyNumberFormat="1" applyFont="1" applyAlignment="1">
      <alignment horizontal="center" vertical="center"/>
    </xf>
    <xf numFmtId="0" fontId="50" fillId="3" borderId="2" xfId="0" applyFont="1" applyFill="1" applyBorder="1" applyAlignment="1">
      <alignment horizontal="left" vertical="center" wrapText="1"/>
    </xf>
    <xf numFmtId="0" fontId="51" fillId="3" borderId="2" xfId="0" applyFont="1" applyFill="1" applyBorder="1" applyAlignment="1">
      <alignment horizontal="left" vertical="center" wrapText="1"/>
    </xf>
    <xf numFmtId="0" fontId="53" fillId="22" borderId="2" xfId="0" applyFont="1" applyFill="1" applyBorder="1" applyAlignment="1">
      <alignment horizontal="center" vertical="center" wrapText="1"/>
    </xf>
    <xf numFmtId="0" fontId="53" fillId="4" borderId="2" xfId="0" applyFont="1" applyFill="1" applyBorder="1" applyAlignment="1">
      <alignment horizontal="center" vertical="center" wrapText="1"/>
    </xf>
    <xf numFmtId="0" fontId="53" fillId="7" borderId="2" xfId="0" applyFont="1" applyFill="1" applyBorder="1" applyAlignment="1">
      <alignment horizontal="center" vertical="center" wrapText="1"/>
    </xf>
    <xf numFmtId="0" fontId="51" fillId="4" borderId="2" xfId="0" applyFont="1" applyFill="1" applyBorder="1" applyAlignment="1">
      <alignment horizontal="center" vertical="center" wrapText="1"/>
    </xf>
    <xf numFmtId="0" fontId="51" fillId="23" borderId="2" xfId="0" applyFont="1" applyFill="1" applyBorder="1" applyAlignment="1">
      <alignment horizontal="center" vertical="center" wrapText="1"/>
    </xf>
    <xf numFmtId="0" fontId="53" fillId="3" borderId="2" xfId="0" applyFont="1" applyFill="1" applyBorder="1" applyAlignment="1">
      <alignment horizontal="left" vertical="center" wrapText="1"/>
    </xf>
    <xf numFmtId="0" fontId="51" fillId="22" borderId="2" xfId="0" applyFont="1" applyFill="1" applyBorder="1" applyAlignment="1">
      <alignment horizontal="center" vertical="center" wrapText="1"/>
    </xf>
    <xf numFmtId="0" fontId="51" fillId="7" borderId="2" xfId="0" applyFont="1" applyFill="1" applyBorder="1" applyAlignment="1">
      <alignment horizontal="center" vertical="center" wrapText="1"/>
    </xf>
    <xf numFmtId="0" fontId="54" fillId="4" borderId="2" xfId="0" applyFont="1" applyFill="1" applyBorder="1" applyAlignment="1">
      <alignment horizontal="left" vertical="center" wrapText="1"/>
    </xf>
    <xf numFmtId="0" fontId="51" fillId="4" borderId="2" xfId="0" applyFont="1" applyFill="1" applyBorder="1" applyAlignment="1">
      <alignment horizontal="left" vertical="center" wrapText="1"/>
    </xf>
    <xf numFmtId="0" fontId="53" fillId="4" borderId="2" xfId="0" applyFont="1" applyFill="1" applyBorder="1" applyAlignment="1">
      <alignment horizontal="left" vertical="center" wrapText="1"/>
    </xf>
    <xf numFmtId="0" fontId="55" fillId="7" borderId="2" xfId="0" applyFont="1" applyFill="1" applyBorder="1" applyAlignment="1">
      <alignment horizontal="left" vertical="center" wrapText="1"/>
    </xf>
    <xf numFmtId="0" fontId="51" fillId="7" borderId="2" xfId="0" applyFont="1" applyFill="1" applyBorder="1" applyAlignment="1">
      <alignment horizontal="left" vertical="center" wrapText="1"/>
    </xf>
    <xf numFmtId="0" fontId="56" fillId="6" borderId="2" xfId="0" applyFont="1" applyFill="1" applyBorder="1" applyAlignment="1">
      <alignment horizontal="left" vertical="center" wrapText="1"/>
    </xf>
    <xf numFmtId="0" fontId="53" fillId="6" borderId="2" xfId="0" applyFont="1" applyFill="1" applyBorder="1" applyAlignment="1">
      <alignment horizontal="left" vertical="center" wrapText="1"/>
    </xf>
    <xf numFmtId="0" fontId="57" fillId="8" borderId="2" xfId="0" applyFont="1" applyFill="1" applyBorder="1" applyAlignment="1">
      <alignment horizontal="left" vertical="center" wrapText="1"/>
    </xf>
    <xf numFmtId="0" fontId="53" fillId="8" borderId="2" xfId="0" applyFont="1" applyFill="1" applyBorder="1" applyAlignment="1">
      <alignment horizontal="left" vertical="center" wrapText="1"/>
    </xf>
    <xf numFmtId="0" fontId="0" fillId="24" borderId="2" xfId="0" applyFill="1" applyBorder="1"/>
    <xf numFmtId="0" fontId="58" fillId="24" borderId="2" xfId="0" applyFont="1" applyFill="1" applyBorder="1" applyAlignment="1">
      <alignment horizontal="left" vertical="center" wrapText="1"/>
    </xf>
    <xf numFmtId="0" fontId="53" fillId="24" borderId="2" xfId="0" applyFont="1" applyFill="1" applyBorder="1" applyAlignment="1">
      <alignment horizontal="left" vertical="center" wrapText="1"/>
    </xf>
    <xf numFmtId="0" fontId="51" fillId="24" borderId="2" xfId="0" applyFont="1" applyFill="1" applyBorder="1" applyAlignment="1">
      <alignment horizontal="left" vertical="center" wrapText="1"/>
    </xf>
    <xf numFmtId="0" fontId="59" fillId="5" borderId="2" xfId="0" applyFont="1" applyFill="1" applyBorder="1" applyAlignment="1">
      <alignment horizontal="left" vertical="center" wrapText="1"/>
    </xf>
    <xf numFmtId="0" fontId="51" fillId="5" borderId="2" xfId="0" applyFont="1" applyFill="1" applyBorder="1" applyAlignment="1">
      <alignment horizontal="left" vertical="center" wrapText="1"/>
    </xf>
    <xf numFmtId="0" fontId="53" fillId="5" borderId="2" xfId="0" applyFont="1" applyFill="1" applyBorder="1" applyAlignment="1">
      <alignment horizontal="left" vertical="center" wrapText="1"/>
    </xf>
    <xf numFmtId="0" fontId="63" fillId="26" borderId="3" xfId="0" applyFont="1" applyFill="1" applyBorder="1" applyAlignment="1">
      <alignment horizontal="center" vertical="center" wrapText="1"/>
    </xf>
    <xf numFmtId="0" fontId="64" fillId="19" borderId="2" xfId="0" applyFont="1" applyFill="1" applyBorder="1" applyAlignment="1">
      <alignment horizontal="center" vertical="center"/>
    </xf>
    <xf numFmtId="0" fontId="66" fillId="19" borderId="2" xfId="0" applyFont="1" applyFill="1" applyBorder="1" applyAlignment="1">
      <alignment horizontal="right" vertical="center"/>
    </xf>
    <xf numFmtId="3" fontId="40" fillId="19" borderId="2" xfId="0" applyNumberFormat="1" applyFont="1" applyFill="1" applyBorder="1" applyAlignment="1">
      <alignment horizontal="right" vertical="center"/>
    </xf>
    <xf numFmtId="3" fontId="67" fillId="19" borderId="2" xfId="0" applyNumberFormat="1" applyFont="1" applyFill="1" applyBorder="1" applyAlignment="1">
      <alignment horizontal="right" vertical="center"/>
    </xf>
    <xf numFmtId="0" fontId="66" fillId="19" borderId="2" xfId="0" applyFont="1" applyFill="1" applyBorder="1" applyAlignment="1">
      <alignment horizontal="center" vertical="center"/>
    </xf>
    <xf numFmtId="0" fontId="64" fillId="27" borderId="2" xfId="0" applyFont="1" applyFill="1" applyBorder="1" applyAlignment="1">
      <alignment horizontal="center" vertical="center"/>
    </xf>
    <xf numFmtId="0" fontId="66" fillId="27" borderId="2" xfId="0" applyFont="1" applyFill="1" applyBorder="1" applyAlignment="1">
      <alignment horizontal="right" vertical="center"/>
    </xf>
    <xf numFmtId="3" fontId="40" fillId="27" borderId="2" xfId="0" applyNumberFormat="1" applyFont="1" applyFill="1" applyBorder="1" applyAlignment="1">
      <alignment horizontal="right" vertical="center"/>
    </xf>
    <xf numFmtId="3" fontId="68" fillId="27" borderId="2" xfId="0" applyNumberFormat="1" applyFont="1" applyFill="1" applyBorder="1" applyAlignment="1">
      <alignment horizontal="right" vertical="center"/>
    </xf>
    <xf numFmtId="0" fontId="69" fillId="27" borderId="2" xfId="0" applyFont="1" applyFill="1" applyBorder="1" applyAlignment="1">
      <alignment horizontal="center" vertical="center"/>
    </xf>
    <xf numFmtId="3" fontId="70" fillId="19" borderId="2" xfId="0" applyNumberFormat="1" applyFont="1" applyFill="1" applyBorder="1" applyAlignment="1">
      <alignment horizontal="right" vertical="center"/>
    </xf>
    <xf numFmtId="3" fontId="68" fillId="19" borderId="2" xfId="0" applyNumberFormat="1" applyFont="1" applyFill="1" applyBorder="1" applyAlignment="1">
      <alignment horizontal="right" vertical="center"/>
    </xf>
    <xf numFmtId="0" fontId="70" fillId="19" borderId="2" xfId="0" applyFont="1" applyFill="1" applyBorder="1" applyAlignment="1">
      <alignment horizontal="center" vertical="center"/>
    </xf>
    <xf numFmtId="0" fontId="70" fillId="27" borderId="2" xfId="0" applyFont="1" applyFill="1" applyBorder="1" applyAlignment="1">
      <alignment horizontal="center" vertical="center"/>
    </xf>
    <xf numFmtId="3" fontId="70" fillId="27" borderId="2" xfId="0" applyNumberFormat="1" applyFont="1" applyFill="1" applyBorder="1" applyAlignment="1">
      <alignment horizontal="right" vertical="center"/>
    </xf>
    <xf numFmtId="3" fontId="71" fillId="27" borderId="2" xfId="0" applyNumberFormat="1" applyFont="1" applyFill="1" applyBorder="1" applyAlignment="1">
      <alignment horizontal="right" vertical="center"/>
    </xf>
    <xf numFmtId="3" fontId="71" fillId="19" borderId="2" xfId="0" applyNumberFormat="1" applyFont="1" applyFill="1" applyBorder="1" applyAlignment="1">
      <alignment horizontal="right" vertical="center"/>
    </xf>
    <xf numFmtId="0" fontId="69" fillId="19" borderId="2" xfId="0" applyFont="1" applyFill="1" applyBorder="1" applyAlignment="1">
      <alignment horizontal="center" vertical="center"/>
    </xf>
    <xf numFmtId="3" fontId="67" fillId="27" borderId="2" xfId="0" applyNumberFormat="1" applyFont="1" applyFill="1" applyBorder="1" applyAlignment="1">
      <alignment horizontal="right" vertical="center"/>
    </xf>
    <xf numFmtId="3" fontId="71" fillId="28" borderId="3" xfId="0" applyNumberFormat="1" applyFont="1" applyFill="1" applyBorder="1" applyAlignment="1">
      <alignment horizontal="right" vertical="center"/>
    </xf>
    <xf numFmtId="3" fontId="71" fillId="27" borderId="3" xfId="0" applyNumberFormat="1" applyFont="1" applyFill="1" applyBorder="1" applyAlignment="1">
      <alignment horizontal="right" vertical="center"/>
    </xf>
    <xf numFmtId="0" fontId="64" fillId="29" borderId="3" xfId="0" applyFont="1" applyFill="1" applyBorder="1" applyAlignment="1">
      <alignment horizontal="center" vertical="center"/>
    </xf>
    <xf numFmtId="3" fontId="72" fillId="19" borderId="2" xfId="0" applyNumberFormat="1" applyFont="1" applyFill="1" applyBorder="1" applyAlignment="1">
      <alignment horizontal="right" vertical="center"/>
    </xf>
    <xf numFmtId="3" fontId="73" fillId="29" borderId="3" xfId="0" applyNumberFormat="1" applyFont="1" applyFill="1" applyBorder="1" applyAlignment="1">
      <alignment horizontal="right" vertical="center"/>
    </xf>
    <xf numFmtId="0" fontId="74" fillId="19" borderId="3" xfId="0" applyFont="1" applyFill="1" applyBorder="1" applyAlignment="1">
      <alignment horizontal="center" vertical="center"/>
    </xf>
    <xf numFmtId="0" fontId="74" fillId="27" borderId="3" xfId="0" applyFont="1" applyFill="1" applyBorder="1" applyAlignment="1">
      <alignment horizontal="center" vertical="center"/>
    </xf>
    <xf numFmtId="0" fontId="75" fillId="30" borderId="0" xfId="0" applyFont="1" applyFill="1" applyAlignment="1">
      <alignment horizontal="center" vertical="center"/>
    </xf>
    <xf numFmtId="0" fontId="76" fillId="31" borderId="2" xfId="0" applyFont="1" applyFill="1" applyBorder="1" applyAlignment="1">
      <alignment horizontal="center" vertical="center"/>
    </xf>
    <xf numFmtId="3" fontId="42" fillId="31" borderId="2" xfId="0" applyNumberFormat="1" applyFont="1" applyFill="1" applyBorder="1" applyAlignment="1">
      <alignment horizontal="right" vertical="center"/>
    </xf>
    <xf numFmtId="0" fontId="77" fillId="28" borderId="3" xfId="0" applyFont="1" applyFill="1" applyBorder="1" applyAlignment="1">
      <alignment horizontal="left" vertical="center"/>
    </xf>
    <xf numFmtId="0" fontId="77" fillId="28" borderId="3" xfId="0" applyFont="1" applyFill="1" applyBorder="1" applyAlignment="1">
      <alignment horizontal="center" vertical="center"/>
    </xf>
    <xf numFmtId="0" fontId="78" fillId="28" borderId="3" xfId="0" applyFont="1" applyFill="1" applyBorder="1" applyAlignment="1">
      <alignment horizontal="center" vertical="center"/>
    </xf>
    <xf numFmtId="3" fontId="79" fillId="28" borderId="3" xfId="0" applyNumberFormat="1" applyFont="1" applyFill="1" applyBorder="1" applyAlignment="1">
      <alignment horizontal="right" vertical="center"/>
    </xf>
    <xf numFmtId="9" fontId="79" fillId="0" borderId="3" xfId="0" applyNumberFormat="1" applyFont="1" applyBorder="1" applyAlignment="1">
      <alignment horizontal="right"/>
    </xf>
    <xf numFmtId="0" fontId="80" fillId="28" borderId="3" xfId="0" applyFont="1" applyFill="1" applyBorder="1" applyAlignment="1">
      <alignment horizontal="left" vertical="center"/>
    </xf>
    <xf numFmtId="0" fontId="80" fillId="28" borderId="3" xfId="0" applyFont="1" applyFill="1" applyBorder="1" applyAlignment="1">
      <alignment horizontal="center" vertical="center"/>
    </xf>
    <xf numFmtId="0" fontId="81" fillId="28" borderId="3" xfId="0" applyFont="1" applyFill="1" applyBorder="1" applyAlignment="1">
      <alignment horizontal="center"/>
    </xf>
    <xf numFmtId="0" fontId="82" fillId="28" borderId="3" xfId="0" applyFont="1" applyFill="1" applyBorder="1" applyAlignment="1">
      <alignment horizontal="center"/>
    </xf>
    <xf numFmtId="0" fontId="83" fillId="28" borderId="3" xfId="0" applyFont="1" applyFill="1" applyBorder="1" applyAlignment="1">
      <alignment horizontal="left" vertical="center"/>
    </xf>
    <xf numFmtId="0" fontId="84" fillId="28" borderId="3" xfId="0" applyFont="1" applyFill="1" applyBorder="1" applyAlignment="1">
      <alignment horizontal="center" vertical="center"/>
    </xf>
    <xf numFmtId="0" fontId="85" fillId="28" borderId="3" xfId="0" applyFont="1" applyFill="1" applyBorder="1" applyAlignment="1">
      <alignment horizontal="left" vertical="center"/>
    </xf>
    <xf numFmtId="0" fontId="85" fillId="28" borderId="3" xfId="0" applyFont="1" applyFill="1" applyBorder="1" applyAlignment="1">
      <alignment horizontal="center" vertical="center"/>
    </xf>
    <xf numFmtId="0" fontId="86" fillId="28" borderId="3" xfId="0" applyFont="1" applyFill="1" applyBorder="1" applyAlignment="1">
      <alignment horizontal="left" vertical="center"/>
    </xf>
    <xf numFmtId="0" fontId="87" fillId="28" borderId="3" xfId="0" applyFont="1" applyFill="1" applyBorder="1" applyAlignment="1">
      <alignment horizontal="center" vertical="center"/>
    </xf>
    <xf numFmtId="0" fontId="79" fillId="28" borderId="3" xfId="0" applyFont="1" applyFill="1" applyBorder="1" applyAlignment="1">
      <alignment horizontal="right" vertical="center"/>
    </xf>
    <xf numFmtId="0" fontId="89" fillId="28" borderId="3" xfId="0" applyFont="1" applyFill="1" applyBorder="1" applyAlignment="1">
      <alignment horizontal="center" vertical="center"/>
    </xf>
    <xf numFmtId="9" fontId="90" fillId="0" borderId="3" xfId="0" applyNumberFormat="1" applyFont="1" applyBorder="1" applyAlignment="1">
      <alignment horizontal="right"/>
    </xf>
    <xf numFmtId="0" fontId="91" fillId="28" borderId="3" xfId="0" applyFont="1" applyFill="1" applyBorder="1" applyAlignment="1">
      <alignment horizontal="left" vertical="center"/>
    </xf>
    <xf numFmtId="0" fontId="92" fillId="31" borderId="3" xfId="0" applyFont="1" applyFill="1" applyBorder="1" applyAlignment="1">
      <alignment horizontal="left" vertical="center"/>
    </xf>
    <xf numFmtId="0" fontId="89" fillId="31" borderId="3" xfId="0" applyFont="1" applyFill="1" applyBorder="1" applyAlignment="1">
      <alignment horizontal="center" vertical="center"/>
    </xf>
    <xf numFmtId="0" fontId="78" fillId="31" borderId="3" xfId="0" applyFont="1" applyFill="1" applyBorder="1" applyAlignment="1">
      <alignment horizontal="center" vertical="center"/>
    </xf>
    <xf numFmtId="3" fontId="93" fillId="31" borderId="3" xfId="0" applyNumberFormat="1" applyFont="1" applyFill="1" applyBorder="1" applyAlignment="1">
      <alignment horizontal="right" vertical="center"/>
    </xf>
    <xf numFmtId="9" fontId="94" fillId="31" borderId="3" xfId="0" applyNumberFormat="1" applyFont="1" applyFill="1" applyBorder="1" applyAlignment="1">
      <alignment horizontal="right"/>
    </xf>
    <xf numFmtId="0" fontId="80" fillId="27" borderId="3" xfId="0" applyFont="1" applyFill="1" applyBorder="1" applyAlignment="1">
      <alignment horizontal="left" vertical="center"/>
    </xf>
    <xf numFmtId="0" fontId="80" fillId="27" borderId="3" xfId="0" applyFont="1" applyFill="1" applyBorder="1" applyAlignment="1">
      <alignment horizontal="center" vertical="center"/>
    </xf>
    <xf numFmtId="0" fontId="78" fillId="27" borderId="3" xfId="0" applyFont="1" applyFill="1" applyBorder="1" applyAlignment="1">
      <alignment horizontal="center" vertical="center"/>
    </xf>
    <xf numFmtId="3" fontId="79" fillId="27" borderId="3" xfId="0" applyNumberFormat="1" applyFont="1" applyFill="1" applyBorder="1" applyAlignment="1">
      <alignment horizontal="right" vertical="center"/>
    </xf>
    <xf numFmtId="0" fontId="81" fillId="27" borderId="3" xfId="0" applyFont="1" applyFill="1" applyBorder="1" applyAlignment="1">
      <alignment horizontal="center"/>
    </xf>
    <xf numFmtId="0" fontId="82" fillId="27" borderId="3" xfId="0" applyFont="1" applyFill="1" applyBorder="1" applyAlignment="1">
      <alignment horizontal="center"/>
    </xf>
    <xf numFmtId="0" fontId="83" fillId="27" borderId="3" xfId="0" applyFont="1" applyFill="1" applyBorder="1" applyAlignment="1">
      <alignment horizontal="left" vertical="center"/>
    </xf>
    <xf numFmtId="0" fontId="84" fillId="27" borderId="3" xfId="0" applyFont="1" applyFill="1" applyBorder="1" applyAlignment="1">
      <alignment horizontal="center" vertical="center"/>
    </xf>
    <xf numFmtId="0" fontId="85" fillId="27" borderId="3" xfId="0" applyFont="1" applyFill="1" applyBorder="1" applyAlignment="1">
      <alignment horizontal="left" vertical="center"/>
    </xf>
    <xf numFmtId="0" fontId="85" fillId="27" borderId="3" xfId="0" applyFont="1" applyFill="1" applyBorder="1" applyAlignment="1">
      <alignment horizontal="center" vertical="center"/>
    </xf>
    <xf numFmtId="0" fontId="86" fillId="27" borderId="3" xfId="0" applyFont="1" applyFill="1" applyBorder="1" applyAlignment="1">
      <alignment horizontal="left" vertical="center"/>
    </xf>
    <xf numFmtId="0" fontId="87" fillId="27" borderId="3" xfId="0" applyFont="1" applyFill="1" applyBorder="1" applyAlignment="1">
      <alignment horizontal="center" vertical="center"/>
    </xf>
    <xf numFmtId="0" fontId="79" fillId="27" borderId="3" xfId="0" applyFont="1" applyFill="1" applyBorder="1" applyAlignment="1">
      <alignment horizontal="right" vertical="center"/>
    </xf>
    <xf numFmtId="0" fontId="91" fillId="27" borderId="3" xfId="0" applyFont="1" applyFill="1" applyBorder="1" applyAlignment="1">
      <alignment horizontal="left" vertical="center"/>
    </xf>
    <xf numFmtId="0" fontId="91" fillId="27" borderId="3" xfId="0" applyFont="1" applyFill="1" applyBorder="1" applyAlignment="1">
      <alignment horizontal="center" vertical="center"/>
    </xf>
    <xf numFmtId="0" fontId="77" fillId="27" borderId="3" xfId="0" applyFont="1" applyFill="1" applyBorder="1" applyAlignment="1">
      <alignment horizontal="left" vertical="center"/>
    </xf>
    <xf numFmtId="0" fontId="89" fillId="27" borderId="3" xfId="0" applyFont="1" applyFill="1" applyBorder="1" applyAlignment="1">
      <alignment horizontal="center" vertical="center"/>
    </xf>
    <xf numFmtId="0" fontId="91" fillId="28" borderId="3" xfId="0" applyFont="1" applyFill="1" applyBorder="1" applyAlignment="1">
      <alignment horizontal="center" vertical="center"/>
    </xf>
    <xf numFmtId="0" fontId="77" fillId="29" borderId="3" xfId="0" applyFont="1" applyFill="1" applyBorder="1" applyAlignment="1">
      <alignment horizontal="left" vertical="center"/>
    </xf>
    <xf numFmtId="0" fontId="77" fillId="29" borderId="3" xfId="0" applyFont="1" applyFill="1" applyBorder="1" applyAlignment="1">
      <alignment horizontal="center" vertical="center"/>
    </xf>
    <xf numFmtId="0" fontId="78" fillId="29" borderId="3" xfId="0" applyFont="1" applyFill="1" applyBorder="1" applyAlignment="1">
      <alignment horizontal="center" vertical="center"/>
    </xf>
    <xf numFmtId="3" fontId="79" fillId="29" borderId="3" xfId="0" applyNumberFormat="1" applyFont="1" applyFill="1" applyBorder="1" applyAlignment="1">
      <alignment horizontal="right" vertical="center"/>
    </xf>
    <xf numFmtId="0" fontId="80" fillId="29" borderId="3" xfId="0" applyFont="1" applyFill="1" applyBorder="1" applyAlignment="1">
      <alignment horizontal="left" vertical="center"/>
    </xf>
    <xf numFmtId="0" fontId="80" fillId="29" borderId="3" xfId="0" applyFont="1" applyFill="1" applyBorder="1" applyAlignment="1">
      <alignment horizontal="center" vertical="center"/>
    </xf>
    <xf numFmtId="0" fontId="81" fillId="29" borderId="3" xfId="0" applyFont="1" applyFill="1" applyBorder="1" applyAlignment="1">
      <alignment horizontal="center"/>
    </xf>
    <xf numFmtId="0" fontId="82" fillId="29" borderId="3" xfId="0" applyFont="1" applyFill="1" applyBorder="1" applyAlignment="1">
      <alignment horizontal="center"/>
    </xf>
    <xf numFmtId="0" fontId="83" fillId="29" borderId="3" xfId="0" applyFont="1" applyFill="1" applyBorder="1" applyAlignment="1">
      <alignment horizontal="left" vertical="center"/>
    </xf>
    <xf numFmtId="0" fontId="84" fillId="29" borderId="3" xfId="0" applyFont="1" applyFill="1" applyBorder="1" applyAlignment="1">
      <alignment horizontal="center" vertical="center"/>
    </xf>
    <xf numFmtId="0" fontId="86" fillId="29" borderId="3" xfId="0" applyFont="1" applyFill="1" applyBorder="1" applyAlignment="1">
      <alignment horizontal="left" vertical="center"/>
    </xf>
    <xf numFmtId="0" fontId="87" fillId="29" borderId="3" xfId="0" applyFont="1" applyFill="1" applyBorder="1" applyAlignment="1">
      <alignment horizontal="center" vertical="center"/>
    </xf>
    <xf numFmtId="0" fontId="79" fillId="29" borderId="3" xfId="0" applyFont="1" applyFill="1" applyBorder="1" applyAlignment="1">
      <alignment horizontal="right" vertical="center"/>
    </xf>
    <xf numFmtId="0" fontId="91" fillId="29" borderId="3" xfId="0" applyFont="1" applyFill="1" applyBorder="1" applyAlignment="1">
      <alignment horizontal="left" vertical="center"/>
    </xf>
    <xf numFmtId="0" fontId="91" fillId="29" borderId="3" xfId="0" applyFont="1" applyFill="1" applyBorder="1" applyAlignment="1">
      <alignment horizontal="center" vertical="center"/>
    </xf>
    <xf numFmtId="0" fontId="89" fillId="29" borderId="3" xfId="0" applyFont="1" applyFill="1" applyBorder="1" applyAlignment="1">
      <alignment horizontal="center" vertical="center"/>
    </xf>
    <xf numFmtId="0" fontId="85" fillId="29" borderId="3" xfId="0" applyFont="1" applyFill="1" applyBorder="1" applyAlignment="1">
      <alignment horizontal="left" vertical="center"/>
    </xf>
    <xf numFmtId="9" fontId="95" fillId="0" borderId="3" xfId="0" applyNumberFormat="1" applyFont="1" applyBorder="1" applyAlignment="1">
      <alignment horizontal="right"/>
    </xf>
    <xf numFmtId="0" fontId="0" fillId="0" borderId="4" xfId="0" applyBorder="1"/>
    <xf numFmtId="0" fontId="96" fillId="9" borderId="1" xfId="0" applyFont="1" applyFill="1" applyBorder="1" applyAlignment="1">
      <alignment horizontal="center" vertical="center" wrapText="1"/>
    </xf>
    <xf numFmtId="0" fontId="97" fillId="3" borderId="2" xfId="0" applyFont="1" applyFill="1" applyBorder="1" applyAlignment="1">
      <alignment horizontal="left" vertical="center" wrapText="1"/>
    </xf>
    <xf numFmtId="3" fontId="98" fillId="3" borderId="2" xfId="0" applyNumberFormat="1" applyFont="1" applyFill="1" applyBorder="1" applyAlignment="1">
      <alignment horizontal="right" vertical="center" wrapText="1"/>
    </xf>
    <xf numFmtId="3" fontId="99" fillId="3" borderId="2" xfId="0" applyNumberFormat="1" applyFont="1" applyFill="1" applyBorder="1" applyAlignment="1">
      <alignment horizontal="right" vertical="center"/>
    </xf>
    <xf numFmtId="9" fontId="26" fillId="23" borderId="2" xfId="0" applyNumberFormat="1" applyFont="1" applyFill="1" applyBorder="1" applyAlignment="1">
      <alignment horizontal="right" vertical="center" wrapText="1"/>
    </xf>
    <xf numFmtId="0" fontId="0" fillId="0" borderId="5" xfId="0" applyBorder="1"/>
    <xf numFmtId="0" fontId="100" fillId="8" borderId="2" xfId="0" applyFont="1" applyFill="1" applyBorder="1" applyAlignment="1">
      <alignment horizontal="left" vertical="center" wrapText="1"/>
    </xf>
    <xf numFmtId="3" fontId="101" fillId="8" borderId="2" xfId="0" applyNumberFormat="1" applyFont="1" applyFill="1" applyBorder="1" applyAlignment="1">
      <alignment horizontal="right" vertical="center" wrapText="1"/>
    </xf>
    <xf numFmtId="0" fontId="26" fillId="33" borderId="2" xfId="0" applyFont="1" applyFill="1" applyBorder="1" applyAlignment="1">
      <alignment horizontal="left" vertical="center"/>
    </xf>
    <xf numFmtId="0" fontId="102" fillId="33" borderId="2" xfId="0" applyFont="1" applyFill="1" applyBorder="1" applyAlignment="1">
      <alignment horizontal="left" vertical="center"/>
    </xf>
    <xf numFmtId="0" fontId="47" fillId="33" borderId="2" xfId="0" applyFont="1" applyFill="1" applyBorder="1" applyAlignment="1">
      <alignment horizontal="center" vertical="center"/>
    </xf>
    <xf numFmtId="3" fontId="102" fillId="33" borderId="2" xfId="0" applyNumberFormat="1" applyFont="1" applyFill="1" applyBorder="1" applyAlignment="1">
      <alignment horizontal="right" vertical="center"/>
    </xf>
    <xf numFmtId="3" fontId="26" fillId="27" borderId="2" xfId="0" applyNumberFormat="1" applyFont="1" applyFill="1" applyBorder="1" applyAlignment="1">
      <alignment horizontal="right" vertical="center"/>
    </xf>
    <xf numFmtId="9" fontId="26" fillId="23" borderId="2" xfId="0" applyNumberFormat="1" applyFont="1" applyFill="1" applyBorder="1" applyAlignment="1">
      <alignment horizontal="right" vertical="center"/>
    </xf>
    <xf numFmtId="9" fontId="26" fillId="23" borderId="2" xfId="0" applyNumberFormat="1" applyFont="1" applyFill="1" applyBorder="1" applyAlignment="1">
      <alignment horizontal="left" vertical="center"/>
    </xf>
    <xf numFmtId="0" fontId="26" fillId="6" borderId="2" xfId="0" applyFont="1" applyFill="1" applyBorder="1" applyAlignment="1">
      <alignment horizontal="left" vertical="center"/>
    </xf>
    <xf numFmtId="0" fontId="104" fillId="6" borderId="2" xfId="0" applyFont="1" applyFill="1" applyBorder="1" applyAlignment="1">
      <alignment horizontal="left" vertical="center"/>
    </xf>
    <xf numFmtId="0" fontId="106" fillId="6" borderId="2" xfId="0" applyFont="1" applyFill="1" applyBorder="1" applyAlignment="1">
      <alignment horizontal="center" vertical="center"/>
    </xf>
    <xf numFmtId="0" fontId="47" fillId="6" borderId="2" xfId="0" applyFont="1" applyFill="1" applyBorder="1" applyAlignment="1">
      <alignment horizontal="center" vertical="center"/>
    </xf>
    <xf numFmtId="3" fontId="104" fillId="6" borderId="2" xfId="0" applyNumberFormat="1" applyFont="1" applyFill="1" applyBorder="1" applyAlignment="1">
      <alignment horizontal="right" vertical="center"/>
    </xf>
    <xf numFmtId="0" fontId="26" fillId="27" borderId="2" xfId="0" applyFont="1" applyFill="1" applyBorder="1" applyAlignment="1">
      <alignment horizontal="right" vertical="center"/>
    </xf>
    <xf numFmtId="0" fontId="26" fillId="23" borderId="2" xfId="0" applyFont="1" applyFill="1" applyBorder="1" applyAlignment="1">
      <alignment horizontal="left" vertical="center"/>
    </xf>
    <xf numFmtId="0" fontId="0" fillId="21" borderId="2" xfId="0" applyFill="1" applyBorder="1"/>
    <xf numFmtId="0" fontId="34" fillId="21" borderId="2" xfId="0" applyFont="1" applyFill="1" applyBorder="1" applyAlignment="1">
      <alignment horizontal="left" vertical="center" wrapText="1"/>
    </xf>
    <xf numFmtId="0" fontId="3" fillId="21" borderId="2" xfId="0" applyFont="1" applyFill="1" applyBorder="1" applyAlignment="1">
      <alignment horizontal="center" vertical="center" wrapText="1"/>
    </xf>
    <xf numFmtId="3" fontId="107" fillId="21" borderId="2" xfId="0" applyNumberFormat="1" applyFont="1" applyFill="1" applyBorder="1" applyAlignment="1">
      <alignment horizontal="right" vertical="center" wrapText="1"/>
    </xf>
    <xf numFmtId="3" fontId="99" fillId="3" borderId="6" xfId="0" applyNumberFormat="1" applyFont="1" applyFill="1" applyBorder="1" applyAlignment="1">
      <alignment horizontal="right" vertical="center"/>
    </xf>
    <xf numFmtId="0" fontId="108" fillId="4" borderId="2" xfId="0" applyFont="1" applyFill="1" applyBorder="1" applyAlignment="1">
      <alignment horizontal="left" vertical="center" wrapText="1"/>
    </xf>
    <xf numFmtId="3" fontId="109" fillId="4" borderId="2" xfId="0" applyNumberFormat="1" applyFont="1" applyFill="1" applyBorder="1" applyAlignment="1">
      <alignment horizontal="right" vertical="center" wrapText="1"/>
    </xf>
    <xf numFmtId="0" fontId="0" fillId="5" borderId="6" xfId="0" applyFill="1" applyBorder="1"/>
    <xf numFmtId="176" fontId="26" fillId="23" borderId="2" xfId="0" applyNumberFormat="1" applyFont="1" applyFill="1" applyBorder="1" applyAlignment="1">
      <alignment horizontal="right" vertical="center" wrapText="1"/>
    </xf>
    <xf numFmtId="0" fontId="4" fillId="34" borderId="1" xfId="0" applyFont="1" applyFill="1" applyBorder="1" applyAlignment="1">
      <alignment horizontal="left" vertical="center"/>
    </xf>
    <xf numFmtId="0" fontId="26" fillId="8" borderId="2" xfId="0" applyFont="1" applyFill="1" applyBorder="1" applyAlignment="1">
      <alignment horizontal="left" vertical="center"/>
    </xf>
    <xf numFmtId="0" fontId="110" fillId="8" borderId="2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11" fillId="27" borderId="2" xfId="0" applyFont="1" applyFill="1" applyBorder="1" applyAlignment="1">
      <alignment horizontal="right" vertical="center"/>
    </xf>
    <xf numFmtId="0" fontId="51" fillId="23" borderId="2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26" fillId="21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left" vertical="center"/>
    </xf>
    <xf numFmtId="0" fontId="26" fillId="15" borderId="2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horizontal="left" vertical="center"/>
    </xf>
    <xf numFmtId="0" fontId="26" fillId="7" borderId="2" xfId="0" applyFont="1" applyFill="1" applyBorder="1" applyAlignment="1">
      <alignment horizontal="left" vertical="center"/>
    </xf>
    <xf numFmtId="0" fontId="26" fillId="8" borderId="1" xfId="0" applyFont="1" applyFill="1" applyBorder="1" applyAlignment="1">
      <alignment horizontal="left" vertical="center"/>
    </xf>
    <xf numFmtId="0" fontId="4" fillId="35" borderId="1" xfId="0" applyFont="1" applyFill="1" applyBorder="1" applyAlignment="1">
      <alignment horizontal="left" vertical="center"/>
    </xf>
    <xf numFmtId="0" fontId="26" fillId="24" borderId="2" xfId="0" applyFont="1" applyFill="1" applyBorder="1" applyAlignment="1">
      <alignment horizontal="left" vertical="center" wrapText="1"/>
    </xf>
    <xf numFmtId="0" fontId="6" fillId="14" borderId="0" xfId="0" applyFont="1" applyFill="1" applyAlignment="1">
      <alignment horizontal="left" vertical="center"/>
    </xf>
    <xf numFmtId="0" fontId="100" fillId="8" borderId="2" xfId="0" applyFont="1" applyFill="1" applyBorder="1" applyAlignment="1">
      <alignment horizontal="left" vertical="center"/>
    </xf>
    <xf numFmtId="3" fontId="16" fillId="8" borderId="2" xfId="0" applyNumberFormat="1" applyFont="1" applyFill="1" applyBorder="1" applyAlignment="1">
      <alignment horizontal="right" vertical="center"/>
    </xf>
    <xf numFmtId="0" fontId="26" fillId="23" borderId="2" xfId="0" applyFont="1" applyFill="1" applyBorder="1" applyAlignment="1">
      <alignment horizontal="left" vertical="center" wrapText="1"/>
    </xf>
    <xf numFmtId="0" fontId="26" fillId="22" borderId="2" xfId="0" applyFont="1" applyFill="1" applyBorder="1" applyAlignment="1">
      <alignment horizontal="left" vertical="center" wrapText="1"/>
    </xf>
    <xf numFmtId="0" fontId="112" fillId="8" borderId="2" xfId="0" applyFont="1" applyFill="1" applyBorder="1" applyAlignment="1">
      <alignment horizontal="left" vertical="center" wrapText="1"/>
    </xf>
    <xf numFmtId="0" fontId="11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3" fontId="114" fillId="5" borderId="2" xfId="0" applyNumberFormat="1" applyFont="1" applyFill="1" applyBorder="1" applyAlignment="1">
      <alignment horizontal="right" vertical="center"/>
    </xf>
    <xf numFmtId="3" fontId="111" fillId="27" borderId="2" xfId="0" applyNumberFormat="1" applyFont="1" applyFill="1" applyBorder="1" applyAlignment="1">
      <alignment horizontal="right" vertical="center"/>
    </xf>
    <xf numFmtId="0" fontId="113" fillId="15" borderId="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3" fontId="114" fillId="15" borderId="2" xfId="0" applyNumberFormat="1" applyFont="1" applyFill="1" applyBorder="1" applyAlignment="1">
      <alignment horizontal="right" vertical="center"/>
    </xf>
    <xf numFmtId="0" fontId="115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3" fontId="116" fillId="3" borderId="2" xfId="0" applyNumberFormat="1" applyFont="1" applyFill="1" applyBorder="1" applyAlignment="1">
      <alignment horizontal="right" vertical="center"/>
    </xf>
    <xf numFmtId="0" fontId="117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3" fontId="13" fillId="6" borderId="2" xfId="0" applyNumberFormat="1" applyFont="1" applyFill="1" applyBorder="1" applyAlignment="1">
      <alignment horizontal="right" vertical="center"/>
    </xf>
    <xf numFmtId="0" fontId="6" fillId="14" borderId="2" xfId="0" applyFont="1" applyFill="1" applyBorder="1" applyAlignment="1">
      <alignment horizontal="left" vertical="center"/>
    </xf>
    <xf numFmtId="3" fontId="8" fillId="27" borderId="2" xfId="0" applyNumberFormat="1" applyFont="1" applyFill="1" applyBorder="1" applyAlignment="1">
      <alignment horizontal="right" vertical="center" wrapText="1"/>
    </xf>
    <xf numFmtId="0" fontId="118" fillId="24" borderId="2" xfId="0" applyFont="1" applyFill="1" applyBorder="1" applyAlignment="1">
      <alignment horizontal="left" vertical="center"/>
    </xf>
    <xf numFmtId="0" fontId="20" fillId="24" borderId="2" xfId="0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center" vertical="center" wrapText="1"/>
    </xf>
    <xf numFmtId="9" fontId="120" fillId="24" borderId="2" xfId="0" applyNumberFormat="1" applyFont="1" applyFill="1" applyBorder="1" applyAlignment="1">
      <alignment horizontal="right" vertical="center"/>
    </xf>
    <xf numFmtId="3" fontId="102" fillId="8" borderId="2" xfId="0" applyNumberFormat="1" applyFont="1" applyFill="1" applyBorder="1" applyAlignment="1">
      <alignment horizontal="right" vertical="center"/>
    </xf>
    <xf numFmtId="0" fontId="102" fillId="8" borderId="2" xfId="0" applyFont="1" applyFill="1" applyBorder="1" applyAlignment="1">
      <alignment horizontal="left" vertical="center"/>
    </xf>
    <xf numFmtId="0" fontId="121" fillId="24" borderId="2" xfId="0" applyFont="1" applyFill="1" applyBorder="1" applyAlignment="1">
      <alignment horizontal="left" vertical="center"/>
    </xf>
    <xf numFmtId="3" fontId="120" fillId="24" borderId="2" xfId="0" applyNumberFormat="1" applyFont="1" applyFill="1" applyBorder="1" applyAlignment="1">
      <alignment horizontal="right" vertical="center"/>
    </xf>
    <xf numFmtId="0" fontId="20" fillId="6" borderId="2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left" vertical="center"/>
    </xf>
    <xf numFmtId="0" fontId="20" fillId="7" borderId="2" xfId="0" applyFont="1" applyFill="1" applyBorder="1" applyAlignment="1">
      <alignment horizontal="center" vertical="center" wrapText="1"/>
    </xf>
    <xf numFmtId="3" fontId="14" fillId="7" borderId="2" xfId="0" applyNumberFormat="1" applyFont="1" applyFill="1" applyBorder="1" applyAlignment="1">
      <alignment horizontal="right" vertical="center"/>
    </xf>
    <xf numFmtId="0" fontId="4" fillId="34" borderId="2" xfId="0" applyFont="1" applyFill="1" applyBorder="1" applyAlignment="1">
      <alignment horizontal="left" vertical="center"/>
    </xf>
    <xf numFmtId="0" fontId="122" fillId="21" borderId="2" xfId="0" applyFont="1" applyFill="1" applyBorder="1" applyAlignment="1">
      <alignment horizontal="left" vertical="center"/>
    </xf>
    <xf numFmtId="0" fontId="3" fillId="21" borderId="2" xfId="0" applyFont="1" applyFill="1" applyBorder="1" applyAlignment="1">
      <alignment horizontal="center" vertical="center"/>
    </xf>
    <xf numFmtId="3" fontId="107" fillId="21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/>
    </xf>
    <xf numFmtId="0" fontId="4" fillId="35" borderId="2" xfId="0" applyFont="1" applyFill="1" applyBorder="1" applyAlignment="1">
      <alignment horizontal="left" vertical="center"/>
    </xf>
    <xf numFmtId="176" fontId="102" fillId="8" borderId="2" xfId="0" applyNumberFormat="1" applyFont="1" applyFill="1" applyBorder="1" applyAlignment="1">
      <alignment horizontal="right" vertical="center"/>
    </xf>
    <xf numFmtId="3" fontId="101" fillId="8" borderId="2" xfId="0" applyNumberFormat="1" applyFont="1" applyFill="1" applyBorder="1" applyAlignment="1">
      <alignment horizontal="right" vertical="center"/>
    </xf>
    <xf numFmtId="3" fontId="123" fillId="24" borderId="2" xfId="0" applyNumberFormat="1" applyFont="1" applyFill="1" applyBorder="1" applyAlignment="1">
      <alignment horizontal="right" vertical="center"/>
    </xf>
    <xf numFmtId="0" fontId="86" fillId="22" borderId="2" xfId="0" applyFont="1" applyFill="1" applyBorder="1" applyAlignment="1">
      <alignment horizontal="left" vertical="center" wrapText="1"/>
    </xf>
    <xf numFmtId="0" fontId="20" fillId="22" borderId="2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center" vertical="center" wrapText="1"/>
    </xf>
    <xf numFmtId="3" fontId="124" fillId="22" borderId="2" xfId="0" applyNumberFormat="1" applyFont="1" applyFill="1" applyBorder="1" applyAlignment="1">
      <alignment horizontal="right" vertical="center"/>
    </xf>
    <xf numFmtId="3" fontId="125" fillId="22" borderId="2" xfId="0" applyNumberFormat="1" applyFont="1" applyFill="1" applyBorder="1" applyAlignment="1">
      <alignment horizontal="right" vertical="center"/>
    </xf>
    <xf numFmtId="3" fontId="107" fillId="7" borderId="2" xfId="0" applyNumberFormat="1" applyFont="1" applyFill="1" applyBorder="1" applyAlignment="1">
      <alignment horizontal="right" vertical="center"/>
    </xf>
    <xf numFmtId="0" fontId="126" fillId="4" borderId="2" xfId="0" applyFont="1" applyFill="1" applyBorder="1" applyAlignment="1">
      <alignment horizontal="left" vertical="center" wrapText="1"/>
    </xf>
    <xf numFmtId="9" fontId="109" fillId="4" borderId="2" xfId="0" applyNumberFormat="1" applyFont="1" applyFill="1" applyBorder="1" applyAlignment="1">
      <alignment horizontal="right" vertical="center" wrapText="1"/>
    </xf>
    <xf numFmtId="9" fontId="8" fillId="27" borderId="2" xfId="0" applyNumberFormat="1" applyFont="1" applyFill="1" applyBorder="1" applyAlignment="1">
      <alignment horizontal="right" vertical="center" wrapText="1"/>
    </xf>
    <xf numFmtId="0" fontId="127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30" fillId="3" borderId="2" xfId="0" applyFont="1" applyFill="1" applyBorder="1" applyAlignment="1">
      <alignment horizontal="left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26" fillId="27" borderId="2" xfId="0" applyFont="1" applyFill="1" applyBorder="1" applyAlignment="1">
      <alignment horizontal="left" vertical="center" wrapText="1"/>
    </xf>
    <xf numFmtId="0" fontId="130" fillId="27" borderId="2" xfId="0" applyFont="1" applyFill="1" applyBorder="1" applyAlignment="1">
      <alignment horizontal="left" vertical="center" wrapText="1"/>
    </xf>
    <xf numFmtId="0" fontId="76" fillId="21" borderId="2" xfId="0" applyFont="1" applyFill="1" applyBorder="1" applyAlignment="1">
      <alignment horizontal="left" vertical="center" wrapText="1"/>
    </xf>
    <xf numFmtId="0" fontId="130" fillId="21" borderId="2" xfId="0" applyFont="1" applyFill="1" applyBorder="1" applyAlignment="1">
      <alignment horizontal="left" vertical="center" wrapText="1"/>
    </xf>
    <xf numFmtId="0" fontId="28" fillId="21" borderId="2" xfId="0" applyFont="1" applyFill="1" applyBorder="1" applyAlignment="1">
      <alignment horizontal="left" vertical="center" wrapText="1"/>
    </xf>
    <xf numFmtId="0" fontId="26" fillId="21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3" fontId="26" fillId="4" borderId="2" xfId="0" applyNumberFormat="1" applyFont="1" applyFill="1" applyBorder="1" applyAlignment="1">
      <alignment horizontal="center" vertical="center" wrapText="1"/>
    </xf>
    <xf numFmtId="3" fontId="26" fillId="27" borderId="2" xfId="0" applyNumberFormat="1" applyFont="1" applyFill="1" applyBorder="1" applyAlignment="1">
      <alignment horizontal="center" vertical="center" wrapText="1"/>
    </xf>
    <xf numFmtId="3" fontId="26" fillId="27" borderId="2" xfId="0" applyNumberFormat="1" applyFont="1" applyFill="1" applyBorder="1" applyAlignment="1">
      <alignment horizontal="right" vertical="center" wrapText="1"/>
    </xf>
    <xf numFmtId="0" fontId="26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34" fillId="27" borderId="2" xfId="0" applyFont="1" applyFill="1" applyBorder="1" applyAlignment="1">
      <alignment horizontal="left" vertical="center"/>
    </xf>
    <xf numFmtId="0" fontId="47" fillId="27" borderId="2" xfId="0" applyFont="1" applyFill="1" applyBorder="1" applyAlignment="1">
      <alignment horizontal="center" vertical="center"/>
    </xf>
    <xf numFmtId="0" fontId="130" fillId="3" borderId="2" xfId="0" applyFont="1" applyFill="1" applyBorder="1" applyAlignment="1">
      <alignment horizontal="left" vertical="center"/>
    </xf>
    <xf numFmtId="0" fontId="47" fillId="3" borderId="2" xfId="0" applyFont="1" applyFill="1" applyBorder="1" applyAlignment="1">
      <alignment horizontal="center" vertical="center"/>
    </xf>
    <xf numFmtId="3" fontId="26" fillId="4" borderId="2" xfId="0" applyNumberFormat="1" applyFont="1" applyFill="1" applyBorder="1" applyAlignment="1">
      <alignment horizontal="right" vertical="center"/>
    </xf>
    <xf numFmtId="3" fontId="26" fillId="22" borderId="2" xfId="0" applyNumberFormat="1" applyFont="1" applyFill="1" applyBorder="1" applyAlignment="1">
      <alignment horizontal="right" vertical="center"/>
    </xf>
    <xf numFmtId="0" fontId="134" fillId="3" borderId="2" xfId="0" applyFont="1" applyFill="1" applyBorder="1" applyAlignment="1">
      <alignment horizontal="left" vertical="center"/>
    </xf>
    <xf numFmtId="3" fontId="26" fillId="3" borderId="2" xfId="0" applyNumberFormat="1" applyFont="1" applyFill="1" applyBorder="1" applyAlignment="1">
      <alignment horizontal="right" vertical="center"/>
    </xf>
    <xf numFmtId="0" fontId="134" fillId="27" borderId="2" xfId="0" applyFont="1" applyFill="1" applyBorder="1" applyAlignment="1">
      <alignment horizontal="left" vertical="center" wrapText="1"/>
    </xf>
    <xf numFmtId="0" fontId="106" fillId="27" borderId="2" xfId="0" applyFont="1" applyFill="1" applyBorder="1" applyAlignment="1">
      <alignment horizontal="center" vertical="center"/>
    </xf>
    <xf numFmtId="176" fontId="26" fillId="4" borderId="2" xfId="0" applyNumberFormat="1" applyFont="1" applyFill="1" applyBorder="1" applyAlignment="1">
      <alignment horizontal="right" vertical="center"/>
    </xf>
    <xf numFmtId="176" fontId="26" fillId="22" borderId="2" xfId="0" applyNumberFormat="1" applyFont="1" applyFill="1" applyBorder="1" applyAlignment="1">
      <alignment horizontal="right" vertical="center"/>
    </xf>
    <xf numFmtId="0" fontId="106" fillId="3" borderId="2" xfId="0" applyFont="1" applyFill="1" applyBorder="1" applyAlignment="1">
      <alignment horizontal="center" vertical="center"/>
    </xf>
    <xf numFmtId="176" fontId="26" fillId="3" borderId="2" xfId="0" applyNumberFormat="1" applyFont="1" applyFill="1" applyBorder="1" applyAlignment="1">
      <alignment horizontal="right" vertical="center"/>
    </xf>
    <xf numFmtId="0" fontId="135" fillId="3" borderId="2" xfId="0" applyFont="1" applyFill="1" applyBorder="1" applyAlignment="1">
      <alignment horizontal="left" vertical="center"/>
    </xf>
    <xf numFmtId="0" fontId="35" fillId="10" borderId="0" xfId="0" applyFont="1" applyFill="1" applyAlignment="1">
      <alignment horizontal="left" vertical="center"/>
    </xf>
    <xf numFmtId="0" fontId="26" fillId="4" borderId="2" xfId="0" applyFont="1" applyFill="1" applyBorder="1" applyAlignment="1">
      <alignment horizontal="left" vertical="center"/>
    </xf>
    <xf numFmtId="0" fontId="54" fillId="4" borderId="2" xfId="0" applyFont="1" applyFill="1" applyBorder="1" applyAlignment="1">
      <alignment horizontal="left" vertical="center"/>
    </xf>
    <xf numFmtId="0" fontId="137" fillId="7" borderId="2" xfId="0" applyFont="1" applyFill="1" applyBorder="1" applyAlignment="1">
      <alignment horizontal="left" vertical="center"/>
    </xf>
    <xf numFmtId="0" fontId="26" fillId="22" borderId="2" xfId="0" applyFont="1" applyFill="1" applyBorder="1" applyAlignment="1">
      <alignment horizontal="left" vertical="center"/>
    </xf>
    <xf numFmtId="0" fontId="138" fillId="22" borderId="2" xfId="0" applyFont="1" applyFill="1" applyBorder="1" applyAlignment="1">
      <alignment horizontal="left" vertical="center"/>
    </xf>
    <xf numFmtId="0" fontId="26" fillId="38" borderId="2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 wrapText="1"/>
    </xf>
    <xf numFmtId="0" fontId="130" fillId="27" borderId="6" xfId="0" applyFont="1" applyFill="1" applyBorder="1" applyAlignment="1">
      <alignment horizontal="left" vertical="center"/>
    </xf>
    <xf numFmtId="3" fontId="26" fillId="27" borderId="6" xfId="0" applyNumberFormat="1" applyFont="1" applyFill="1" applyBorder="1" applyAlignment="1">
      <alignment horizontal="right" vertical="center"/>
    </xf>
    <xf numFmtId="0" fontId="130" fillId="3" borderId="6" xfId="0" applyFont="1" applyFill="1" applyBorder="1" applyAlignment="1">
      <alignment horizontal="left" vertical="center"/>
    </xf>
    <xf numFmtId="3" fontId="26" fillId="3" borderId="6" xfId="0" applyNumberFormat="1" applyFont="1" applyFill="1" applyBorder="1" applyAlignment="1">
      <alignment horizontal="right" vertical="center"/>
    </xf>
    <xf numFmtId="0" fontId="76" fillId="15" borderId="6" xfId="0" applyFont="1" applyFill="1" applyBorder="1" applyAlignment="1">
      <alignment horizontal="left" vertical="center"/>
    </xf>
    <xf numFmtId="3" fontId="28" fillId="15" borderId="6" xfId="0" applyNumberFormat="1" applyFont="1" applyFill="1" applyBorder="1" applyAlignment="1">
      <alignment horizontal="right" vertical="center"/>
    </xf>
    <xf numFmtId="0" fontId="148" fillId="3" borderId="6" xfId="0" applyFont="1" applyFill="1" applyBorder="1" applyAlignment="1">
      <alignment horizontal="left" vertical="center"/>
    </xf>
    <xf numFmtId="0" fontId="125" fillId="3" borderId="6" xfId="0" applyFont="1" applyFill="1" applyBorder="1" applyAlignment="1">
      <alignment horizontal="right" vertical="center"/>
    </xf>
    <xf numFmtId="0" fontId="6" fillId="37" borderId="6" xfId="0" applyFont="1" applyFill="1" applyBorder="1" applyAlignment="1">
      <alignment horizontal="center" vertical="center" wrapText="1"/>
    </xf>
    <xf numFmtId="0" fontId="130" fillId="6" borderId="6" xfId="0" applyFont="1" applyFill="1" applyBorder="1" applyAlignment="1">
      <alignment horizontal="left" vertical="center"/>
    </xf>
    <xf numFmtId="3" fontId="26" fillId="6" borderId="6" xfId="0" applyNumberFormat="1" applyFont="1" applyFill="1" applyBorder="1" applyAlignment="1">
      <alignment horizontal="right" vertical="center"/>
    </xf>
    <xf numFmtId="0" fontId="76" fillId="30" borderId="6" xfId="0" applyFont="1" applyFill="1" applyBorder="1" applyAlignment="1">
      <alignment horizontal="left" vertical="center"/>
    </xf>
    <xf numFmtId="3" fontId="28" fillId="30" borderId="6" xfId="0" applyNumberFormat="1" applyFont="1" applyFill="1" applyBorder="1" applyAlignment="1">
      <alignment horizontal="right" vertical="center"/>
    </xf>
    <xf numFmtId="0" fontId="29" fillId="6" borderId="6" xfId="0" applyFont="1" applyFill="1" applyBorder="1" applyAlignment="1">
      <alignment horizontal="left" vertical="center"/>
    </xf>
    <xf numFmtId="0" fontId="109" fillId="6" borderId="6" xfId="0" applyFont="1" applyFill="1" applyBorder="1" applyAlignment="1">
      <alignment horizontal="right" vertical="center"/>
    </xf>
    <xf numFmtId="0" fontId="6" fillId="34" borderId="6" xfId="0" applyFont="1" applyFill="1" applyBorder="1" applyAlignment="1">
      <alignment horizontal="center" vertical="center" wrapText="1"/>
    </xf>
    <xf numFmtId="0" fontId="130" fillId="8" borderId="6" xfId="0" applyFont="1" applyFill="1" applyBorder="1" applyAlignment="1">
      <alignment horizontal="left" vertical="center"/>
    </xf>
    <xf numFmtId="3" fontId="26" fillId="8" borderId="6" xfId="0" applyNumberFormat="1" applyFont="1" applyFill="1" applyBorder="1" applyAlignment="1">
      <alignment horizontal="right" vertical="center"/>
    </xf>
    <xf numFmtId="0" fontId="26" fillId="27" borderId="6" xfId="0" applyFont="1" applyFill="1" applyBorder="1" applyAlignment="1">
      <alignment horizontal="left" vertical="center"/>
    </xf>
    <xf numFmtId="0" fontId="76" fillId="40" borderId="6" xfId="0" applyFont="1" applyFill="1" applyBorder="1" applyAlignment="1">
      <alignment horizontal="left" vertical="center"/>
    </xf>
    <xf numFmtId="3" fontId="28" fillId="40" borderId="6" xfId="0" applyNumberFormat="1" applyFont="1" applyFill="1" applyBorder="1" applyAlignment="1">
      <alignment horizontal="right" vertical="center"/>
    </xf>
    <xf numFmtId="0" fontId="29" fillId="8" borderId="6" xfId="0" applyFont="1" applyFill="1" applyBorder="1" applyAlignment="1">
      <alignment horizontal="left" vertical="center"/>
    </xf>
    <xf numFmtId="0" fontId="109" fillId="8" borderId="6" xfId="0" applyFont="1" applyFill="1" applyBorder="1" applyAlignment="1">
      <alignment horizontal="right" vertical="center"/>
    </xf>
    <xf numFmtId="0" fontId="35" fillId="2" borderId="0" xfId="0" applyFont="1" applyFill="1" applyAlignment="1">
      <alignment horizontal="left" vertical="center"/>
    </xf>
    <xf numFmtId="0" fontId="124" fillId="3" borderId="6" xfId="0" applyFont="1" applyFill="1" applyBorder="1" applyAlignment="1">
      <alignment horizontal="right" vertical="center"/>
    </xf>
    <xf numFmtId="0" fontId="10" fillId="6" borderId="6" xfId="0" applyFont="1" applyFill="1" applyBorder="1" applyAlignment="1">
      <alignment horizontal="right" vertical="center"/>
    </xf>
    <xf numFmtId="0" fontId="10" fillId="8" borderId="6" xfId="0" applyFont="1" applyFill="1" applyBorder="1" applyAlignment="1">
      <alignment horizontal="right" vertical="center"/>
    </xf>
    <xf numFmtId="0" fontId="130" fillId="4" borderId="6" xfId="0" applyFont="1" applyFill="1" applyBorder="1" applyAlignment="1">
      <alignment horizontal="left" vertical="center"/>
    </xf>
    <xf numFmtId="3" fontId="26" fillId="4" borderId="6" xfId="0" applyNumberFormat="1" applyFont="1" applyFill="1" applyBorder="1" applyAlignment="1">
      <alignment horizontal="right" vertical="center"/>
    </xf>
    <xf numFmtId="0" fontId="124" fillId="4" borderId="6" xfId="0" applyFont="1" applyFill="1" applyBorder="1" applyAlignment="1">
      <alignment horizontal="right" vertical="center"/>
    </xf>
    <xf numFmtId="0" fontId="26" fillId="5" borderId="6" xfId="0" applyFont="1" applyFill="1" applyBorder="1" applyAlignment="1">
      <alignment horizontal="left" vertical="center"/>
    </xf>
    <xf numFmtId="3" fontId="26" fillId="5" borderId="6" xfId="0" applyNumberFormat="1" applyFont="1" applyFill="1" applyBorder="1" applyAlignment="1">
      <alignment horizontal="right" vertical="center"/>
    </xf>
    <xf numFmtId="0" fontId="124" fillId="5" borderId="6" xfId="0" applyFont="1" applyFill="1" applyBorder="1" applyAlignment="1">
      <alignment horizontal="right" vertical="center"/>
    </xf>
    <xf numFmtId="0" fontId="6" fillId="41" borderId="6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left" vertical="center"/>
    </xf>
    <xf numFmtId="0" fontId="96" fillId="10" borderId="0" xfId="0" applyFont="1" applyFill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40" fillId="27" borderId="6" xfId="0" applyFont="1" applyFill="1" applyBorder="1" applyAlignment="1">
      <alignment horizontal="right" vertical="center"/>
    </xf>
    <xf numFmtId="0" fontId="74" fillId="30" borderId="6" xfId="0" applyFont="1" applyFill="1" applyBorder="1" applyAlignment="1">
      <alignment horizontal="center" vertical="center"/>
    </xf>
    <xf numFmtId="0" fontId="40" fillId="3" borderId="6" xfId="0" applyFont="1" applyFill="1" applyBorder="1" applyAlignment="1">
      <alignment horizontal="right" vertical="center"/>
    </xf>
    <xf numFmtId="0" fontId="150" fillId="25" borderId="6" xfId="0" applyFont="1" applyFill="1" applyBorder="1" applyAlignment="1">
      <alignment horizontal="center" vertical="center"/>
    </xf>
    <xf numFmtId="0" fontId="70" fillId="15" borderId="6" xfId="0" applyFont="1" applyFill="1" applyBorder="1" applyAlignment="1">
      <alignment horizontal="center" vertical="center"/>
    </xf>
    <xf numFmtId="0" fontId="134" fillId="21" borderId="6" xfId="0" applyFont="1" applyFill="1" applyBorder="1" applyAlignment="1">
      <alignment horizontal="left" vertical="center"/>
    </xf>
    <xf numFmtId="0" fontId="40" fillId="21" borderId="6" xfId="0" applyFont="1" applyFill="1" applyBorder="1" applyAlignment="1">
      <alignment horizontal="right" vertical="center"/>
    </xf>
    <xf numFmtId="0" fontId="67" fillId="25" borderId="6" xfId="0" applyFont="1" applyFill="1" applyBorder="1" applyAlignment="1">
      <alignment horizontal="center" vertical="center"/>
    </xf>
    <xf numFmtId="0" fontId="6" fillId="42" borderId="0" xfId="0" applyFont="1" applyFill="1" applyAlignment="1">
      <alignment horizontal="center" vertical="center" wrapText="1"/>
    </xf>
    <xf numFmtId="0" fontId="6" fillId="42" borderId="0" xfId="0" applyFont="1" applyFill="1" applyAlignment="1">
      <alignment horizontal="center" vertical="center"/>
    </xf>
    <xf numFmtId="0" fontId="39" fillId="36" borderId="0" xfId="0" applyFont="1" applyFill="1" applyAlignment="1">
      <alignment horizontal="left" vertical="center" wrapText="1"/>
    </xf>
    <xf numFmtId="3" fontId="40" fillId="36" borderId="0" xfId="0" applyNumberFormat="1" applyFont="1" applyFill="1" applyAlignment="1">
      <alignment horizontal="right" vertical="center" wrapText="1"/>
    </xf>
    <xf numFmtId="0" fontId="150" fillId="25" borderId="0" xfId="0" applyFont="1" applyFill="1" applyAlignment="1">
      <alignment horizontal="center" vertical="center"/>
    </xf>
    <xf numFmtId="0" fontId="40" fillId="18" borderId="0" xfId="0" applyFont="1" applyFill="1" applyAlignment="1">
      <alignment horizontal="left" vertical="center" wrapText="1"/>
    </xf>
    <xf numFmtId="3" fontId="40" fillId="18" borderId="0" xfId="0" applyNumberFormat="1" applyFont="1" applyFill="1" applyAlignment="1">
      <alignment horizontal="right" vertical="center" wrapText="1"/>
    </xf>
    <xf numFmtId="0" fontId="74" fillId="30" borderId="0" xfId="0" applyFont="1" applyFill="1" applyAlignment="1">
      <alignment horizontal="center" vertical="center"/>
    </xf>
    <xf numFmtId="0" fontId="39" fillId="18" borderId="0" xfId="0" applyFont="1" applyFill="1" applyAlignment="1">
      <alignment horizontal="left" vertical="center" wrapText="1"/>
    </xf>
    <xf numFmtId="0" fontId="71" fillId="15" borderId="0" xfId="0" applyFont="1" applyFill="1" applyAlignment="1">
      <alignment horizontal="center" vertical="center"/>
    </xf>
    <xf numFmtId="0" fontId="40" fillId="19" borderId="0" xfId="0" applyFont="1" applyFill="1" applyAlignment="1">
      <alignment horizontal="left" vertical="center" wrapText="1"/>
    </xf>
    <xf numFmtId="3" fontId="40" fillId="19" borderId="0" xfId="0" applyNumberFormat="1" applyFont="1" applyFill="1" applyAlignment="1">
      <alignment horizontal="right" vertical="center" wrapText="1"/>
    </xf>
    <xf numFmtId="0" fontId="66" fillId="19" borderId="0" xfId="0" applyFont="1" applyFill="1" applyAlignment="1">
      <alignment horizontal="center" vertical="center"/>
    </xf>
    <xf numFmtId="0" fontId="41" fillId="31" borderId="0" xfId="0" applyFont="1" applyFill="1" applyAlignment="1">
      <alignment horizontal="left" vertical="center" wrapText="1"/>
    </xf>
    <xf numFmtId="3" fontId="42" fillId="31" borderId="0" xfId="0" applyNumberFormat="1" applyFont="1" applyFill="1" applyAlignment="1">
      <alignment horizontal="right" vertical="center" wrapText="1"/>
    </xf>
    <xf numFmtId="0" fontId="67" fillId="25" borderId="0" xfId="0" applyFont="1" applyFill="1" applyAlignment="1">
      <alignment horizontal="center" vertical="center"/>
    </xf>
    <xf numFmtId="0" fontId="41" fillId="28" borderId="0" xfId="0" applyFont="1" applyFill="1" applyAlignment="1">
      <alignment horizontal="left" vertical="center" wrapText="1"/>
    </xf>
    <xf numFmtId="176" fontId="42" fillId="28" borderId="0" xfId="0" applyNumberFormat="1" applyFont="1" applyFill="1" applyAlignment="1">
      <alignment horizontal="right"/>
    </xf>
    <xf numFmtId="0" fontId="151" fillId="0" borderId="0" xfId="0" applyFont="1" applyAlignment="1">
      <alignment horizontal="left" vertical="center" wrapText="1"/>
    </xf>
    <xf numFmtId="0" fontId="130" fillId="4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right" vertical="center" wrapText="1"/>
    </xf>
    <xf numFmtId="0" fontId="130" fillId="23" borderId="2" xfId="0" applyFont="1" applyFill="1" applyBorder="1" applyAlignment="1">
      <alignment horizontal="left" vertical="center" wrapText="1"/>
    </xf>
    <xf numFmtId="0" fontId="26" fillId="23" borderId="2" xfId="0" applyFont="1" applyFill="1" applyBorder="1" applyAlignment="1">
      <alignment horizontal="right" vertical="center" wrapText="1"/>
    </xf>
    <xf numFmtId="0" fontId="130" fillId="24" borderId="2" xfId="0" applyFont="1" applyFill="1" applyBorder="1" applyAlignment="1">
      <alignment horizontal="left" vertical="center" wrapText="1"/>
    </xf>
    <xf numFmtId="0" fontId="26" fillId="24" borderId="2" xfId="0" applyFont="1" applyFill="1" applyBorder="1" applyAlignment="1">
      <alignment horizontal="right" vertical="center" wrapText="1"/>
    </xf>
    <xf numFmtId="0" fontId="148" fillId="24" borderId="2" xfId="0" applyFont="1" applyFill="1" applyBorder="1" applyAlignment="1">
      <alignment horizontal="left"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148" fillId="22" borderId="2" xfId="0" applyFont="1" applyFill="1" applyBorder="1" applyAlignment="1">
      <alignment horizontal="center" vertical="center" wrapText="1"/>
    </xf>
    <xf numFmtId="0" fontId="148" fillId="22" borderId="2" xfId="0" applyFont="1" applyFill="1" applyBorder="1" applyAlignment="1">
      <alignment horizontal="left" vertical="center" wrapText="1"/>
    </xf>
    <xf numFmtId="0" fontId="122" fillId="7" borderId="2" xfId="0" applyFont="1" applyFill="1" applyBorder="1" applyAlignment="1">
      <alignment horizontal="center" vertical="center" wrapText="1"/>
    </xf>
    <xf numFmtId="0" fontId="122" fillId="7" borderId="2" xfId="0" applyFont="1" applyFill="1" applyBorder="1" applyAlignment="1">
      <alignment horizontal="left" vertical="center" wrapText="1"/>
    </xf>
    <xf numFmtId="0" fontId="76" fillId="3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130" fillId="22" borderId="2" xfId="0" applyFont="1" applyFill="1" applyBorder="1" applyAlignment="1">
      <alignment horizontal="left" vertical="top" wrapText="1"/>
    </xf>
    <xf numFmtId="0" fontId="130" fillId="23" borderId="2" xfId="0" applyFont="1" applyFill="1" applyBorder="1" applyAlignment="1">
      <alignment horizontal="left" vertical="top" wrapText="1"/>
    </xf>
    <xf numFmtId="0" fontId="26" fillId="22" borderId="2" xfId="0" applyFont="1" applyFill="1" applyBorder="1" applyAlignment="1">
      <alignment horizontal="left" vertical="top" wrapText="1"/>
    </xf>
    <xf numFmtId="0" fontId="28" fillId="3" borderId="2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33" fillId="8" borderId="2" xfId="0" applyFont="1" applyFill="1" applyBorder="1" applyAlignment="1">
      <alignment horizontal="center" vertical="center" wrapText="1"/>
    </xf>
    <xf numFmtId="0" fontId="89" fillId="0" borderId="0" xfId="0" applyFont="1" applyAlignment="1">
      <alignment horizontal="left" vertical="center"/>
    </xf>
    <xf numFmtId="0" fontId="38" fillId="42" borderId="0" xfId="0" applyFont="1" applyFill="1" applyAlignment="1">
      <alignment horizontal="center" vertical="center"/>
    </xf>
    <xf numFmtId="0" fontId="40" fillId="19" borderId="0" xfId="0" applyFont="1" applyFill="1" applyAlignment="1">
      <alignment horizontal="center" vertical="center"/>
    </xf>
    <xf numFmtId="3" fontId="40" fillId="19" borderId="0" xfId="0" applyNumberFormat="1" applyFont="1" applyFill="1" applyAlignment="1">
      <alignment horizontal="right" vertical="center"/>
    </xf>
    <xf numFmtId="3" fontId="42" fillId="19" borderId="0" xfId="0" applyNumberFormat="1" applyFont="1" applyFill="1" applyAlignment="1">
      <alignment horizontal="right" vertical="center"/>
    </xf>
    <xf numFmtId="176" fontId="40" fillId="19" borderId="0" xfId="0" applyNumberFormat="1" applyFont="1" applyFill="1" applyAlignment="1">
      <alignment horizontal="center" vertical="center"/>
    </xf>
    <xf numFmtId="3" fontId="48" fillId="0" borderId="0" xfId="0" applyNumberFormat="1" applyFont="1" applyAlignment="1">
      <alignment horizontal="right" vertical="center"/>
    </xf>
    <xf numFmtId="0" fontId="40" fillId="27" borderId="0" xfId="0" applyFont="1" applyFill="1" applyAlignment="1">
      <alignment horizontal="center" vertical="center"/>
    </xf>
    <xf numFmtId="3" fontId="40" fillId="27" borderId="0" xfId="0" applyNumberFormat="1" applyFont="1" applyFill="1" applyAlignment="1">
      <alignment horizontal="right" vertical="center"/>
    </xf>
    <xf numFmtId="3" fontId="42" fillId="27" borderId="0" xfId="0" applyNumberFormat="1" applyFont="1" applyFill="1" applyAlignment="1">
      <alignment horizontal="right" vertical="center"/>
    </xf>
    <xf numFmtId="176" fontId="40" fillId="27" borderId="0" xfId="0" applyNumberFormat="1" applyFont="1" applyFill="1" applyAlignment="1">
      <alignment horizontal="center" vertical="center"/>
    </xf>
    <xf numFmtId="0" fontId="64" fillId="27" borderId="3" xfId="0" applyFont="1" applyFill="1" applyBorder="1" applyAlignment="1">
      <alignment horizontal="center" vertical="center"/>
    </xf>
    <xf numFmtId="0" fontId="40" fillId="27" borderId="3" xfId="0" applyFont="1" applyFill="1" applyBorder="1" applyAlignment="1">
      <alignment horizontal="center" vertical="center"/>
    </xf>
    <xf numFmtId="3" fontId="40" fillId="27" borderId="3" xfId="0" applyNumberFormat="1" applyFont="1" applyFill="1" applyBorder="1" applyAlignment="1">
      <alignment horizontal="right" vertical="center"/>
    </xf>
    <xf numFmtId="3" fontId="42" fillId="27" borderId="3" xfId="0" applyNumberFormat="1" applyFont="1" applyFill="1" applyBorder="1" applyAlignment="1">
      <alignment horizontal="right" vertical="center"/>
    </xf>
    <xf numFmtId="176" fontId="40" fillId="27" borderId="3" xfId="0" applyNumberFormat="1" applyFont="1" applyFill="1" applyBorder="1" applyAlignment="1">
      <alignment horizontal="right" vertical="center"/>
    </xf>
    <xf numFmtId="3" fontId="49" fillId="28" borderId="3" xfId="0" applyNumberFormat="1" applyFont="1" applyFill="1" applyBorder="1" applyAlignment="1">
      <alignment horizontal="right" vertical="center"/>
    </xf>
    <xf numFmtId="0" fontId="64" fillId="28" borderId="3" xfId="0" applyFont="1" applyFill="1" applyBorder="1" applyAlignment="1">
      <alignment horizontal="center" vertical="center"/>
    </xf>
    <xf numFmtId="0" fontId="40" fillId="28" borderId="3" xfId="0" applyFont="1" applyFill="1" applyBorder="1" applyAlignment="1">
      <alignment horizontal="center" vertical="center"/>
    </xf>
    <xf numFmtId="3" fontId="40" fillId="28" borderId="3" xfId="0" applyNumberFormat="1" applyFont="1" applyFill="1" applyBorder="1" applyAlignment="1">
      <alignment horizontal="right" vertical="center"/>
    </xf>
    <xf numFmtId="3" fontId="42" fillId="28" borderId="3" xfId="0" applyNumberFormat="1" applyFont="1" applyFill="1" applyBorder="1" applyAlignment="1">
      <alignment horizontal="right" vertical="center"/>
    </xf>
    <xf numFmtId="176" fontId="40" fillId="28" borderId="3" xfId="0" applyNumberFormat="1" applyFont="1" applyFill="1" applyBorder="1" applyAlignment="1">
      <alignment horizontal="right" vertical="center"/>
    </xf>
    <xf numFmtId="0" fontId="67" fillId="27" borderId="3" xfId="0" applyFont="1" applyFill="1" applyBorder="1" applyAlignment="1">
      <alignment horizontal="center" vertical="center"/>
    </xf>
    <xf numFmtId="3" fontId="150" fillId="27" borderId="3" xfId="0" applyNumberFormat="1" applyFont="1" applyFill="1" applyBorder="1" applyAlignment="1">
      <alignment horizontal="right" vertical="center"/>
    </xf>
    <xf numFmtId="3" fontId="67" fillId="27" borderId="3" xfId="0" applyNumberFormat="1" applyFont="1" applyFill="1" applyBorder="1" applyAlignment="1">
      <alignment horizontal="right" vertical="center"/>
    </xf>
    <xf numFmtId="0" fontId="160" fillId="0" borderId="0" xfId="0" applyFont="1" applyAlignment="1">
      <alignment horizontal="left" vertical="center"/>
    </xf>
    <xf numFmtId="0" fontId="38" fillId="42" borderId="2" xfId="0" applyFont="1" applyFill="1" applyBorder="1" applyAlignment="1">
      <alignment horizontal="center" vertical="center" wrapText="1"/>
    </xf>
    <xf numFmtId="0" fontId="6" fillId="42" borderId="2" xfId="0" applyFont="1" applyFill="1" applyBorder="1" applyAlignment="1">
      <alignment horizontal="center" vertical="center" wrapText="1"/>
    </xf>
    <xf numFmtId="0" fontId="39" fillId="28" borderId="2" xfId="0" applyFont="1" applyFill="1" applyBorder="1" applyAlignment="1">
      <alignment horizontal="left" vertical="center" wrapText="1"/>
    </xf>
    <xf numFmtId="0" fontId="39" fillId="28" borderId="2" xfId="0" applyFont="1" applyFill="1" applyBorder="1" applyAlignment="1">
      <alignment horizontal="center" vertical="center" wrapText="1"/>
    </xf>
    <xf numFmtId="0" fontId="70" fillId="28" borderId="2" xfId="0" applyFont="1" applyFill="1" applyBorder="1" applyAlignment="1">
      <alignment horizontal="center" vertical="center" wrapText="1"/>
    </xf>
    <xf numFmtId="0" fontId="40" fillId="28" borderId="2" xfId="0" applyFont="1" applyFill="1" applyBorder="1" applyAlignment="1">
      <alignment horizontal="left" vertical="center" wrapText="1"/>
    </xf>
    <xf numFmtId="0" fontId="39" fillId="27" borderId="2" xfId="0" applyFont="1" applyFill="1" applyBorder="1" applyAlignment="1">
      <alignment horizontal="left" vertical="center" wrapText="1"/>
    </xf>
    <xf numFmtId="0" fontId="39" fillId="27" borderId="2" xfId="0" applyFont="1" applyFill="1" applyBorder="1" applyAlignment="1">
      <alignment horizontal="center" vertical="center" wrapText="1"/>
    </xf>
    <xf numFmtId="0" fontId="70" fillId="27" borderId="2" xfId="0" applyFont="1" applyFill="1" applyBorder="1" applyAlignment="1">
      <alignment horizontal="center" vertical="center" wrapText="1"/>
    </xf>
    <xf numFmtId="0" fontId="40" fillId="28" borderId="2" xfId="0" applyFont="1" applyFill="1" applyBorder="1" applyAlignment="1">
      <alignment horizontal="center" vertical="center" wrapText="1"/>
    </xf>
    <xf numFmtId="0" fontId="40" fillId="27" borderId="2" xfId="0" applyFont="1" applyFill="1" applyBorder="1" applyAlignment="1">
      <alignment horizontal="left" vertical="center" wrapText="1"/>
    </xf>
    <xf numFmtId="0" fontId="6" fillId="32" borderId="2" xfId="0" applyFont="1" applyFill="1" applyBorder="1" applyAlignment="1">
      <alignment horizontal="left" vertical="center"/>
    </xf>
    <xf numFmtId="0" fontId="162" fillId="43" borderId="2" xfId="0" applyFont="1" applyFill="1" applyBorder="1" applyAlignment="1">
      <alignment horizontal="center" vertical="center" wrapText="1"/>
    </xf>
    <xf numFmtId="0" fontId="164" fillId="44" borderId="2" xfId="0" applyFont="1" applyFill="1" applyBorder="1" applyAlignment="1">
      <alignment horizontal="center" vertical="center" wrapText="1"/>
    </xf>
    <xf numFmtId="0" fontId="166" fillId="32" borderId="2" xfId="0" applyFont="1" applyFill="1" applyBorder="1" applyAlignment="1">
      <alignment horizontal="center" vertical="center" wrapText="1"/>
    </xf>
    <xf numFmtId="0" fontId="168" fillId="45" borderId="2" xfId="0" applyFont="1" applyFill="1" applyBorder="1" applyAlignment="1">
      <alignment horizontal="center" vertical="center" wrapText="1"/>
    </xf>
    <xf numFmtId="0" fontId="63" fillId="32" borderId="2" xfId="0" applyFont="1" applyFill="1" applyBorder="1" applyAlignment="1">
      <alignment horizontal="center" vertical="center" wrapText="1"/>
    </xf>
    <xf numFmtId="0" fontId="39" fillId="28" borderId="2" xfId="0" applyFont="1" applyFill="1" applyBorder="1" applyAlignment="1">
      <alignment horizontal="left" vertical="center"/>
    </xf>
    <xf numFmtId="3" fontId="170" fillId="46" borderId="2" xfId="0" applyNumberFormat="1" applyFont="1" applyFill="1" applyBorder="1" applyAlignment="1">
      <alignment horizontal="center" vertical="center"/>
    </xf>
    <xf numFmtId="3" fontId="171" fillId="29" borderId="2" xfId="0" applyNumberFormat="1" applyFont="1" applyFill="1" applyBorder="1" applyAlignment="1">
      <alignment horizontal="center" vertical="center"/>
    </xf>
    <xf numFmtId="3" fontId="150" fillId="7" borderId="3" xfId="0" applyNumberFormat="1" applyFont="1" applyFill="1" applyBorder="1" applyAlignment="1">
      <alignment horizontal="right" vertical="center"/>
    </xf>
    <xf numFmtId="3" fontId="40" fillId="18" borderId="3" xfId="0" applyNumberFormat="1" applyFont="1" applyFill="1" applyBorder="1" applyAlignment="1">
      <alignment horizontal="right" vertical="center"/>
    </xf>
    <xf numFmtId="0" fontId="172" fillId="18" borderId="2" xfId="0" applyFont="1" applyFill="1" applyBorder="1" applyAlignment="1">
      <alignment horizontal="center" vertical="center"/>
    </xf>
    <xf numFmtId="3" fontId="66" fillId="31" borderId="3" xfId="0" applyNumberFormat="1" applyFont="1" applyFill="1" applyBorder="1" applyAlignment="1">
      <alignment horizontal="center" vertical="center"/>
    </xf>
    <xf numFmtId="0" fontId="39" fillId="27" borderId="2" xfId="0" applyFont="1" applyFill="1" applyBorder="1" applyAlignment="1">
      <alignment horizontal="left" vertical="center"/>
    </xf>
    <xf numFmtId="3" fontId="81" fillId="46" borderId="2" xfId="0" applyNumberFormat="1" applyFont="1" applyFill="1" applyBorder="1" applyAlignment="1">
      <alignment horizontal="center" vertical="center"/>
    </xf>
    <xf numFmtId="3" fontId="173" fillId="31" borderId="3" xfId="0" applyNumberFormat="1" applyFont="1" applyFill="1" applyBorder="1" applyAlignment="1">
      <alignment horizontal="right" vertical="center"/>
    </xf>
    <xf numFmtId="0" fontId="40" fillId="28" borderId="2" xfId="0" applyFont="1" applyFill="1" applyBorder="1" applyAlignment="1">
      <alignment horizontal="left" vertical="center"/>
    </xf>
    <xf numFmtId="177" fontId="81" fillId="46" borderId="2" xfId="0" applyNumberFormat="1" applyFont="1" applyFill="1" applyBorder="1" applyAlignment="1">
      <alignment horizontal="center" vertical="center"/>
    </xf>
    <xf numFmtId="0" fontId="171" fillId="29" borderId="2" xfId="0" applyFont="1" applyFill="1" applyBorder="1" applyAlignment="1">
      <alignment horizontal="center" vertical="center"/>
    </xf>
    <xf numFmtId="177" fontId="150" fillId="7" borderId="3" xfId="0" applyNumberFormat="1" applyFont="1" applyFill="1" applyBorder="1" applyAlignment="1">
      <alignment horizontal="right" vertical="center"/>
    </xf>
    <xf numFmtId="177" fontId="40" fillId="27" borderId="3" xfId="0" applyNumberFormat="1" applyFont="1" applyFill="1" applyBorder="1" applyAlignment="1">
      <alignment horizontal="right" vertical="center"/>
    </xf>
    <xf numFmtId="177" fontId="40" fillId="18" borderId="3" xfId="0" applyNumberFormat="1" applyFont="1" applyFill="1" applyBorder="1" applyAlignment="1">
      <alignment horizontal="right" vertical="center"/>
    </xf>
    <xf numFmtId="0" fontId="66" fillId="31" borderId="3" xfId="0" applyFont="1" applyFill="1" applyBorder="1" applyAlignment="1">
      <alignment horizontal="center" vertical="center"/>
    </xf>
    <xf numFmtId="3" fontId="150" fillId="29" borderId="2" xfId="0" applyNumberFormat="1" applyFont="1" applyFill="1" applyBorder="1" applyAlignment="1">
      <alignment horizontal="right" vertical="center"/>
    </xf>
    <xf numFmtId="0" fontId="81" fillId="46" borderId="2" xfId="0" applyFont="1" applyFill="1" applyBorder="1" applyAlignment="1">
      <alignment horizontal="center" vertical="center"/>
    </xf>
    <xf numFmtId="0" fontId="66" fillId="7" borderId="3" xfId="0" applyFont="1" applyFill="1" applyBorder="1" applyAlignment="1">
      <alignment horizontal="center" vertical="center"/>
    </xf>
    <xf numFmtId="0" fontId="150" fillId="7" borderId="3" xfId="0" applyFont="1" applyFill="1" applyBorder="1" applyAlignment="1">
      <alignment horizontal="center" vertical="center"/>
    </xf>
    <xf numFmtId="0" fontId="74" fillId="18" borderId="3" xfId="0" applyFont="1" applyFill="1" applyBorder="1" applyAlignment="1">
      <alignment horizontal="center" vertical="center"/>
    </xf>
    <xf numFmtId="0" fontId="70" fillId="27" borderId="3" xfId="0" applyFont="1" applyFill="1" applyBorder="1" applyAlignment="1">
      <alignment horizontal="center" vertical="center"/>
    </xf>
    <xf numFmtId="0" fontId="40" fillId="0" borderId="0" xfId="0" applyFont="1"/>
    <xf numFmtId="0" fontId="63" fillId="48" borderId="3" xfId="0" applyFont="1" applyFill="1" applyBorder="1" applyAlignment="1">
      <alignment horizontal="left" vertical="center"/>
    </xf>
    <xf numFmtId="0" fontId="63" fillId="48" borderId="3" xfId="0" applyFont="1" applyFill="1" applyBorder="1" applyAlignment="1">
      <alignment horizontal="center" vertical="center"/>
    </xf>
    <xf numFmtId="3" fontId="63" fillId="49" borderId="3" xfId="0" applyNumberFormat="1" applyFont="1" applyFill="1" applyBorder="1" applyAlignment="1">
      <alignment horizontal="center" vertical="center"/>
    </xf>
    <xf numFmtId="0" fontId="166" fillId="48" borderId="3" xfId="0" applyFont="1" applyFill="1" applyBorder="1" applyAlignment="1">
      <alignment horizontal="center" vertical="center" wrapText="1"/>
    </xf>
    <xf numFmtId="3" fontId="166" fillId="48" borderId="3" xfId="0" applyNumberFormat="1" applyFont="1" applyFill="1" applyBorder="1" applyAlignment="1">
      <alignment horizontal="center" vertical="center" wrapText="1"/>
    </xf>
    <xf numFmtId="0" fontId="166" fillId="50" borderId="3" xfId="0" applyFont="1" applyFill="1" applyBorder="1" applyAlignment="1">
      <alignment horizontal="center" vertical="center" wrapText="1"/>
    </xf>
    <xf numFmtId="0" fontId="63" fillId="48" borderId="3" xfId="0" applyFont="1" applyFill="1" applyBorder="1" applyAlignment="1">
      <alignment horizontal="center" vertical="center" wrapText="1"/>
    </xf>
    <xf numFmtId="0" fontId="176" fillId="18" borderId="3" xfId="0" applyFont="1" applyFill="1" applyBorder="1" applyAlignment="1">
      <alignment horizontal="left" vertical="center"/>
    </xf>
    <xf numFmtId="0" fontId="77" fillId="18" borderId="3" xfId="0" applyFont="1" applyFill="1" applyBorder="1" applyAlignment="1">
      <alignment horizontal="center" vertical="center"/>
    </xf>
    <xf numFmtId="3" fontId="177" fillId="18" borderId="3" xfId="0" applyNumberFormat="1" applyFont="1" applyFill="1" applyBorder="1" applyAlignment="1">
      <alignment horizontal="left" vertical="center"/>
    </xf>
    <xf numFmtId="3" fontId="64" fillId="18" borderId="3" xfId="0" applyNumberFormat="1" applyFont="1" applyFill="1" applyBorder="1" applyAlignment="1">
      <alignment horizontal="right" vertical="center"/>
    </xf>
    <xf numFmtId="3" fontId="178" fillId="18" borderId="3" xfId="0" applyNumberFormat="1" applyFont="1" applyFill="1" applyBorder="1" applyAlignment="1">
      <alignment horizontal="center"/>
    </xf>
    <xf numFmtId="0" fontId="178" fillId="18" borderId="3" xfId="0" applyFont="1" applyFill="1" applyBorder="1" applyAlignment="1">
      <alignment horizontal="center"/>
    </xf>
    <xf numFmtId="0" fontId="172" fillId="51" borderId="3" xfId="0" applyFont="1" applyFill="1" applyBorder="1" applyAlignment="1">
      <alignment horizontal="center"/>
    </xf>
    <xf numFmtId="3" fontId="42" fillId="31" borderId="3" xfId="0" applyNumberFormat="1" applyFont="1" applyFill="1" applyBorder="1" applyAlignment="1">
      <alignment horizontal="right" vertical="center"/>
    </xf>
    <xf numFmtId="0" fontId="95" fillId="18" borderId="3" xfId="0" applyFont="1" applyFill="1" applyBorder="1" applyAlignment="1">
      <alignment horizontal="left" vertical="center"/>
    </xf>
    <xf numFmtId="0" fontId="176" fillId="52" borderId="3" xfId="0" applyFont="1" applyFill="1" applyBorder="1" applyAlignment="1">
      <alignment horizontal="left" vertical="center"/>
    </xf>
    <xf numFmtId="0" fontId="77" fillId="52" borderId="3" xfId="0" applyFont="1" applyFill="1" applyBorder="1" applyAlignment="1">
      <alignment horizontal="center" vertical="center"/>
    </xf>
    <xf numFmtId="3" fontId="177" fillId="52" borderId="3" xfId="0" applyNumberFormat="1" applyFont="1" applyFill="1" applyBorder="1" applyAlignment="1">
      <alignment horizontal="left" vertical="center"/>
    </xf>
    <xf numFmtId="3" fontId="40" fillId="52" borderId="3" xfId="0" applyNumberFormat="1" applyFont="1" applyFill="1" applyBorder="1" applyAlignment="1">
      <alignment horizontal="right" vertical="center"/>
    </xf>
    <xf numFmtId="0" fontId="178" fillId="52" borderId="3" xfId="0" applyFont="1" applyFill="1" applyBorder="1" applyAlignment="1">
      <alignment horizontal="center"/>
    </xf>
    <xf numFmtId="3" fontId="178" fillId="52" borderId="3" xfId="0" applyNumberFormat="1" applyFont="1" applyFill="1" applyBorder="1" applyAlignment="1">
      <alignment horizontal="center"/>
    </xf>
    <xf numFmtId="0" fontId="3" fillId="52" borderId="3" xfId="0" applyFont="1" applyFill="1" applyBorder="1" applyAlignment="1">
      <alignment horizontal="left" vertical="center"/>
    </xf>
    <xf numFmtId="0" fontId="180" fillId="52" borderId="3" xfId="0" applyFont="1" applyFill="1" applyBorder="1" applyAlignment="1">
      <alignment horizontal="left" vertical="center"/>
    </xf>
    <xf numFmtId="0" fontId="177" fillId="52" borderId="3" xfId="0" applyFont="1" applyFill="1" applyBorder="1" applyAlignment="1">
      <alignment horizontal="left" vertical="center"/>
    </xf>
    <xf numFmtId="3" fontId="70" fillId="52" borderId="3" xfId="0" applyNumberFormat="1" applyFont="1" applyFill="1" applyBorder="1" applyAlignment="1">
      <alignment horizontal="right" vertical="center"/>
    </xf>
    <xf numFmtId="0" fontId="181" fillId="52" borderId="3" xfId="0" applyFont="1" applyFill="1" applyBorder="1" applyAlignment="1">
      <alignment horizontal="left" vertical="center"/>
    </xf>
    <xf numFmtId="0" fontId="177" fillId="18" borderId="3" xfId="0" applyFont="1" applyFill="1" applyBorder="1" applyAlignment="1">
      <alignment horizontal="left" vertical="center"/>
    </xf>
    <xf numFmtId="0" fontId="3" fillId="18" borderId="3" xfId="0" applyFont="1" applyFill="1" applyBorder="1" applyAlignment="1">
      <alignment horizontal="left" vertical="center"/>
    </xf>
    <xf numFmtId="0" fontId="180" fillId="18" borderId="3" xfId="0" applyFont="1" applyFill="1" applyBorder="1" applyAlignment="1">
      <alignment horizontal="left" vertical="center"/>
    </xf>
    <xf numFmtId="3" fontId="70" fillId="18" borderId="3" xfId="0" applyNumberFormat="1" applyFont="1" applyFill="1" applyBorder="1" applyAlignment="1">
      <alignment horizontal="right" vertical="center"/>
    </xf>
    <xf numFmtId="0" fontId="181" fillId="18" borderId="3" xfId="0" applyFont="1" applyFill="1" applyBorder="1" applyAlignment="1">
      <alignment horizontal="left" vertical="center"/>
    </xf>
    <xf numFmtId="0" fontId="95" fillId="52" borderId="3" xfId="0" applyFont="1" applyFill="1" applyBorder="1" applyAlignment="1">
      <alignment horizontal="left" vertical="center"/>
    </xf>
    <xf numFmtId="0" fontId="176" fillId="53" borderId="3" xfId="0" applyFont="1" applyFill="1" applyBorder="1" applyAlignment="1">
      <alignment horizontal="left" vertical="center"/>
    </xf>
    <xf numFmtId="0" fontId="85" fillId="53" borderId="3" xfId="0" applyFont="1" applyFill="1" applyBorder="1" applyAlignment="1">
      <alignment horizontal="center" vertical="center"/>
    </xf>
    <xf numFmtId="0" fontId="178" fillId="53" borderId="3" xfId="0" applyFont="1" applyFill="1" applyBorder="1" applyAlignment="1">
      <alignment horizontal="left" vertical="center"/>
    </xf>
    <xf numFmtId="0" fontId="178" fillId="53" borderId="3" xfId="0" applyFont="1" applyFill="1" applyBorder="1" applyAlignment="1">
      <alignment horizontal="center"/>
    </xf>
    <xf numFmtId="3" fontId="40" fillId="53" borderId="3" xfId="0" applyNumberFormat="1" applyFont="1" applyFill="1" applyBorder="1" applyAlignment="1">
      <alignment horizontal="right" vertical="center"/>
    </xf>
    <xf numFmtId="0" fontId="182" fillId="53" borderId="3" xfId="0" applyFont="1" applyFill="1" applyBorder="1" applyAlignment="1">
      <alignment horizontal="left" vertical="center"/>
    </xf>
    <xf numFmtId="0" fontId="64" fillId="54" borderId="3" xfId="0" applyFont="1" applyFill="1" applyBorder="1" applyAlignment="1">
      <alignment horizontal="left" vertical="center"/>
    </xf>
    <xf numFmtId="0" fontId="183" fillId="54" borderId="3" xfId="0" applyFont="1" applyFill="1" applyBorder="1" applyAlignment="1">
      <alignment horizontal="center" vertical="center"/>
    </xf>
    <xf numFmtId="0" fontId="178" fillId="54" borderId="3" xfId="0" applyFont="1" applyFill="1" applyBorder="1" applyAlignment="1">
      <alignment horizontal="left" vertical="center"/>
    </xf>
    <xf numFmtId="3" fontId="178" fillId="54" borderId="3" xfId="0" applyNumberFormat="1" applyFont="1" applyFill="1" applyBorder="1" applyAlignment="1">
      <alignment horizontal="center"/>
    </xf>
    <xf numFmtId="0" fontId="178" fillId="54" borderId="3" xfId="0" applyFont="1" applyFill="1" applyBorder="1" applyAlignment="1">
      <alignment horizontal="center"/>
    </xf>
    <xf numFmtId="3" fontId="40" fillId="54" borderId="3" xfId="0" applyNumberFormat="1" applyFont="1" applyFill="1" applyBorder="1" applyAlignment="1">
      <alignment horizontal="right" vertical="center"/>
    </xf>
    <xf numFmtId="0" fontId="3" fillId="54" borderId="3" xfId="0" applyFont="1" applyFill="1" applyBorder="1" applyAlignment="1">
      <alignment horizontal="left" vertical="center"/>
    </xf>
    <xf numFmtId="0" fontId="180" fillId="53" borderId="3" xfId="0" applyFont="1" applyFill="1" applyBorder="1" applyAlignment="1">
      <alignment horizontal="left" vertical="center"/>
    </xf>
    <xf numFmtId="3" fontId="70" fillId="53" borderId="3" xfId="0" applyNumberFormat="1" applyFont="1" applyFill="1" applyBorder="1" applyAlignment="1">
      <alignment horizontal="right" vertical="center"/>
    </xf>
    <xf numFmtId="0" fontId="184" fillId="53" borderId="3" xfId="0" applyFont="1" applyFill="1" applyBorder="1" applyAlignment="1">
      <alignment horizontal="left" vertical="center"/>
    </xf>
    <xf numFmtId="0" fontId="176" fillId="55" borderId="3" xfId="0" applyFont="1" applyFill="1" applyBorder="1" applyAlignment="1">
      <alignment horizontal="left" vertical="center"/>
    </xf>
    <xf numFmtId="0" fontId="85" fillId="55" borderId="3" xfId="0" applyFont="1" applyFill="1" applyBorder="1" applyAlignment="1">
      <alignment horizontal="center" vertical="center"/>
    </xf>
    <xf numFmtId="0" fontId="178" fillId="55" borderId="3" xfId="0" applyFont="1" applyFill="1" applyBorder="1" applyAlignment="1">
      <alignment horizontal="left" vertical="center"/>
    </xf>
    <xf numFmtId="0" fontId="178" fillId="55" borderId="3" xfId="0" applyFont="1" applyFill="1" applyBorder="1" applyAlignment="1">
      <alignment horizontal="center"/>
    </xf>
    <xf numFmtId="3" fontId="40" fillId="55" borderId="3" xfId="0" applyNumberFormat="1" applyFont="1" applyFill="1" applyBorder="1" applyAlignment="1">
      <alignment horizontal="right" vertical="center"/>
    </xf>
    <xf numFmtId="0" fontId="182" fillId="55" borderId="3" xfId="0" applyFont="1" applyFill="1" applyBorder="1" applyAlignment="1">
      <alignment horizontal="left" vertical="center"/>
    </xf>
    <xf numFmtId="0" fontId="76" fillId="31" borderId="3" xfId="0" applyFont="1" applyFill="1" applyBorder="1" applyAlignment="1">
      <alignment horizontal="left" vertical="center"/>
    </xf>
    <xf numFmtId="0" fontId="40" fillId="31" borderId="3" xfId="0" applyFont="1" applyFill="1" applyBorder="1" applyAlignment="1">
      <alignment horizontal="center" vertical="center"/>
    </xf>
    <xf numFmtId="3" fontId="40" fillId="0" borderId="0" xfId="0" applyNumberFormat="1" applyFont="1"/>
    <xf numFmtId="0" fontId="63" fillId="56" borderId="3" xfId="0" applyFont="1" applyFill="1" applyBorder="1" applyAlignment="1">
      <alignment horizontal="left" vertical="center"/>
    </xf>
    <xf numFmtId="0" fontId="63" fillId="56" borderId="3" xfId="0" applyFont="1" applyFill="1" applyBorder="1" applyAlignment="1">
      <alignment horizontal="center" vertical="center"/>
    </xf>
    <xf numFmtId="0" fontId="63" fillId="49" borderId="3" xfId="0" applyFont="1" applyFill="1" applyBorder="1" applyAlignment="1">
      <alignment horizontal="center" vertical="center"/>
    </xf>
    <xf numFmtId="0" fontId="166" fillId="57" borderId="3" xfId="0" applyFont="1" applyFill="1" applyBorder="1" applyAlignment="1">
      <alignment horizontal="center" vertical="center" wrapText="1"/>
    </xf>
    <xf numFmtId="0" fontId="166" fillId="56" borderId="3" xfId="0" applyFont="1" applyFill="1" applyBorder="1" applyAlignment="1">
      <alignment horizontal="center" vertical="center" wrapText="1"/>
    </xf>
    <xf numFmtId="0" fontId="166" fillId="42" borderId="3" xfId="0" applyFont="1" applyFill="1" applyBorder="1" applyAlignment="1">
      <alignment horizontal="center" vertical="center" wrapText="1"/>
    </xf>
    <xf numFmtId="0" fontId="63" fillId="56" borderId="3" xfId="0" applyFont="1" applyFill="1" applyBorder="1" applyAlignment="1">
      <alignment horizontal="center" vertical="center" wrapText="1"/>
    </xf>
    <xf numFmtId="0" fontId="176" fillId="58" borderId="3" xfId="0" applyFont="1" applyFill="1" applyBorder="1" applyAlignment="1">
      <alignment horizontal="left" vertical="center"/>
    </xf>
    <xf numFmtId="0" fontId="86" fillId="58" borderId="3" xfId="0" applyFont="1" applyFill="1" applyBorder="1" applyAlignment="1">
      <alignment horizontal="center" vertical="center"/>
    </xf>
    <xf numFmtId="0" fontId="178" fillId="58" borderId="3" xfId="0" applyFont="1" applyFill="1" applyBorder="1" applyAlignment="1">
      <alignment horizontal="left" vertical="center"/>
    </xf>
    <xf numFmtId="0" fontId="81" fillId="46" borderId="3" xfId="0" applyFont="1" applyFill="1" applyBorder="1" applyAlignment="1">
      <alignment horizontal="center"/>
    </xf>
    <xf numFmtId="3" fontId="81" fillId="46" borderId="3" xfId="0" applyNumberFormat="1" applyFont="1" applyFill="1" applyBorder="1" applyAlignment="1">
      <alignment horizontal="center"/>
    </xf>
    <xf numFmtId="0" fontId="178" fillId="58" borderId="3" xfId="0" applyFont="1" applyFill="1" applyBorder="1" applyAlignment="1">
      <alignment horizontal="center"/>
    </xf>
    <xf numFmtId="3" fontId="40" fillId="58" borderId="3" xfId="0" applyNumberFormat="1" applyFont="1" applyFill="1" applyBorder="1" applyAlignment="1">
      <alignment horizontal="right" vertical="center"/>
    </xf>
    <xf numFmtId="0" fontId="172" fillId="59" borderId="3" xfId="0" applyFont="1" applyFill="1" applyBorder="1" applyAlignment="1">
      <alignment horizontal="center" vertical="center"/>
    </xf>
    <xf numFmtId="0" fontId="86" fillId="58" borderId="3" xfId="0" applyFont="1" applyFill="1" applyBorder="1" applyAlignment="1">
      <alignment horizontal="left" vertical="center"/>
    </xf>
    <xf numFmtId="0" fontId="176" fillId="60" borderId="3" xfId="0" applyFont="1" applyFill="1" applyBorder="1" applyAlignment="1">
      <alignment horizontal="left" vertical="center"/>
    </xf>
    <xf numFmtId="0" fontId="86" fillId="60" borderId="3" xfId="0" applyFont="1" applyFill="1" applyBorder="1" applyAlignment="1">
      <alignment horizontal="center" vertical="center"/>
    </xf>
    <xf numFmtId="0" fontId="178" fillId="60" borderId="3" xfId="0" applyFont="1" applyFill="1" applyBorder="1" applyAlignment="1">
      <alignment horizontal="left" vertical="center"/>
    </xf>
    <xf numFmtId="0" fontId="178" fillId="60" borderId="3" xfId="0" applyFont="1" applyFill="1" applyBorder="1" applyAlignment="1">
      <alignment horizontal="center"/>
    </xf>
    <xf numFmtId="3" fontId="40" fillId="60" borderId="3" xfId="0" applyNumberFormat="1" applyFont="1" applyFill="1" applyBorder="1" applyAlignment="1">
      <alignment horizontal="right" vertical="center"/>
    </xf>
    <xf numFmtId="0" fontId="182" fillId="60" borderId="3" xfId="0" applyFont="1" applyFill="1" applyBorder="1" applyAlignment="1">
      <alignment horizontal="left" vertical="center"/>
    </xf>
    <xf numFmtId="0" fontId="64" fillId="58" borderId="3" xfId="0" applyFont="1" applyFill="1" applyBorder="1" applyAlignment="1">
      <alignment horizontal="left" vertical="center"/>
    </xf>
    <xf numFmtId="0" fontId="182" fillId="58" borderId="3" xfId="0" applyFont="1" applyFill="1" applyBorder="1" applyAlignment="1">
      <alignment horizontal="left" vertical="center"/>
    </xf>
    <xf numFmtId="0" fontId="180" fillId="60" borderId="3" xfId="0" applyFont="1" applyFill="1" applyBorder="1" applyAlignment="1">
      <alignment horizontal="left" vertical="center"/>
    </xf>
    <xf numFmtId="0" fontId="184" fillId="60" borderId="3" xfId="0" applyFont="1" applyFill="1" applyBorder="1" applyAlignment="1">
      <alignment horizontal="left" vertical="center"/>
    </xf>
    <xf numFmtId="0" fontId="64" fillId="60" borderId="3" xfId="0" applyFont="1" applyFill="1" applyBorder="1" applyAlignment="1">
      <alignment horizontal="left" vertical="center"/>
    </xf>
    <xf numFmtId="0" fontId="63" fillId="26" borderId="3" xfId="0" applyFont="1" applyFill="1" applyBorder="1" applyAlignment="1">
      <alignment horizontal="left" vertical="center"/>
    </xf>
    <xf numFmtId="0" fontId="63" fillId="26" borderId="3" xfId="0" applyFont="1" applyFill="1" applyBorder="1" applyAlignment="1">
      <alignment horizontal="center" vertical="center"/>
    </xf>
    <xf numFmtId="0" fontId="166" fillId="26" borderId="3" xfId="0" applyFont="1" applyFill="1" applyBorder="1" applyAlignment="1">
      <alignment horizontal="center" vertical="center"/>
    </xf>
    <xf numFmtId="0" fontId="185" fillId="18" borderId="3" xfId="0" applyFont="1" applyFill="1" applyBorder="1" applyAlignment="1">
      <alignment horizontal="left" vertical="center"/>
    </xf>
    <xf numFmtId="0" fontId="186" fillId="18" borderId="3" xfId="0" applyFont="1" applyFill="1" applyBorder="1" applyAlignment="1">
      <alignment horizontal="center" vertical="center"/>
    </xf>
    <xf numFmtId="0" fontId="188" fillId="31" borderId="3" xfId="0" applyFont="1" applyFill="1" applyBorder="1" applyAlignment="1">
      <alignment horizontal="center" vertical="center"/>
    </xf>
    <xf numFmtId="0" fontId="62" fillId="18" borderId="3" xfId="0" applyFont="1" applyFill="1" applyBorder="1" applyAlignment="1">
      <alignment horizontal="left" vertical="center"/>
    </xf>
    <xf numFmtId="0" fontId="189" fillId="61" borderId="3" xfId="0" applyFont="1" applyFill="1" applyBorder="1" applyAlignment="1">
      <alignment horizontal="left" vertical="center"/>
    </xf>
    <xf numFmtId="0" fontId="190" fillId="61" borderId="3" xfId="0" applyFont="1" applyFill="1" applyBorder="1" applyAlignment="1">
      <alignment horizontal="center" vertical="center"/>
    </xf>
    <xf numFmtId="3" fontId="40" fillId="61" borderId="3" xfId="0" applyNumberFormat="1" applyFont="1" applyFill="1" applyBorder="1" applyAlignment="1">
      <alignment horizontal="right" vertical="center"/>
    </xf>
    <xf numFmtId="0" fontId="192" fillId="31" borderId="3" xfId="0" applyFont="1" applyFill="1" applyBorder="1" applyAlignment="1">
      <alignment horizontal="center" vertical="center"/>
    </xf>
    <xf numFmtId="0" fontId="62" fillId="61" borderId="3" xfId="0" applyFont="1" applyFill="1" applyBorder="1" applyAlignment="1">
      <alignment horizontal="left" vertical="center"/>
    </xf>
    <xf numFmtId="0" fontId="138" fillId="58" borderId="3" xfId="0" applyFont="1" applyFill="1" applyBorder="1" applyAlignment="1">
      <alignment horizontal="left" vertical="center"/>
    </xf>
    <xf numFmtId="0" fontId="87" fillId="58" borderId="3" xfId="0" applyFont="1" applyFill="1" applyBorder="1" applyAlignment="1">
      <alignment horizontal="center" vertical="center"/>
    </xf>
    <xf numFmtId="0" fontId="194" fillId="31" borderId="3" xfId="0" applyFont="1" applyFill="1" applyBorder="1" applyAlignment="1">
      <alignment horizontal="center" vertical="center"/>
    </xf>
    <xf numFmtId="0" fontId="62" fillId="58" borderId="3" xfId="0" applyFont="1" applyFill="1" applyBorder="1" applyAlignment="1">
      <alignment horizontal="left" vertical="center"/>
    </xf>
    <xf numFmtId="0" fontId="195" fillId="55" borderId="3" xfId="0" applyFont="1" applyFill="1" applyBorder="1" applyAlignment="1">
      <alignment horizontal="left" vertical="center"/>
    </xf>
    <xf numFmtId="0" fontId="196" fillId="55" borderId="3" xfId="0" applyFont="1" applyFill="1" applyBorder="1" applyAlignment="1">
      <alignment horizontal="center" vertical="center"/>
    </xf>
    <xf numFmtId="3" fontId="198" fillId="55" borderId="3" xfId="0" applyNumberFormat="1" applyFont="1" applyFill="1" applyBorder="1" applyAlignment="1">
      <alignment horizontal="right" vertical="center"/>
    </xf>
    <xf numFmtId="0" fontId="199" fillId="31" borderId="3" xfId="0" applyFont="1" applyFill="1" applyBorder="1" applyAlignment="1">
      <alignment horizontal="center" vertical="center"/>
    </xf>
    <xf numFmtId="0" fontId="62" fillId="55" borderId="3" xfId="0" applyFont="1" applyFill="1" applyBorder="1" applyAlignment="1">
      <alignment horizontal="left" vertical="center"/>
    </xf>
    <xf numFmtId="0" fontId="40" fillId="31" borderId="3" xfId="0" applyFont="1" applyFill="1" applyBorder="1" applyAlignment="1">
      <alignment horizontal="right" vertical="center"/>
    </xf>
    <xf numFmtId="0" fontId="200" fillId="31" borderId="3" xfId="0" applyFont="1" applyFill="1" applyBorder="1" applyAlignment="1">
      <alignment horizontal="center" vertical="center"/>
    </xf>
    <xf numFmtId="0" fontId="203" fillId="52" borderId="3" xfId="0" applyFont="1" applyFill="1" applyBorder="1" applyAlignment="1">
      <alignment horizontal="left" vertical="center"/>
    </xf>
    <xf numFmtId="0" fontId="205" fillId="18" borderId="3" xfId="0" applyFont="1" applyFill="1" applyBorder="1" applyAlignment="1">
      <alignment horizontal="left" vertical="center"/>
    </xf>
    <xf numFmtId="0" fontId="203" fillId="18" borderId="3" xfId="0" applyFont="1" applyFill="1" applyBorder="1" applyAlignment="1">
      <alignment horizontal="left" vertical="center"/>
    </xf>
    <xf numFmtId="0" fontId="206" fillId="62" borderId="3" xfId="0" applyFont="1" applyFill="1" applyBorder="1" applyAlignment="1">
      <alignment horizontal="center"/>
    </xf>
    <xf numFmtId="0" fontId="172" fillId="62" borderId="3" xfId="0" applyFont="1" applyFill="1" applyBorder="1" applyAlignment="1">
      <alignment horizontal="center"/>
    </xf>
    <xf numFmtId="3" fontId="173" fillId="63" borderId="3" xfId="0" applyNumberFormat="1" applyFont="1" applyFill="1" applyBorder="1" applyAlignment="1">
      <alignment horizontal="right" vertical="center"/>
    </xf>
    <xf numFmtId="0" fontId="204" fillId="52" borderId="3" xfId="0" applyFont="1" applyFill="1" applyBorder="1" applyAlignment="1">
      <alignment horizontal="left" vertical="center"/>
    </xf>
    <xf numFmtId="0" fontId="60" fillId="2" borderId="0" xfId="0" applyFont="1" applyFill="1" applyAlignment="1">
      <alignment horizontal="left" vertical="center"/>
    </xf>
    <xf numFmtId="0" fontId="35" fillId="32" borderId="0" xfId="0" applyFont="1" applyFill="1" applyAlignment="1">
      <alignment horizontal="left" vertical="center"/>
    </xf>
    <xf numFmtId="0" fontId="62" fillId="47" borderId="0" xfId="0" applyFont="1" applyFill="1" applyAlignment="1">
      <alignment horizontal="left" vertical="center" wrapText="1"/>
    </xf>
    <xf numFmtId="0" fontId="35" fillId="34" borderId="0" xfId="0" applyFont="1" applyFill="1" applyAlignment="1">
      <alignment horizontal="left" vertical="center"/>
    </xf>
    <xf numFmtId="0" fontId="174" fillId="47" borderId="0" xfId="0" applyFont="1" applyFill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35" fillId="56" borderId="0" xfId="0" applyFont="1" applyFill="1" applyAlignment="1">
      <alignment horizontal="left" vertical="center"/>
    </xf>
    <xf numFmtId="0" fontId="6" fillId="26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36" fillId="0" borderId="0" xfId="0" applyFont="1" applyAlignment="1">
      <alignment horizontal="left" vertical="center"/>
    </xf>
    <xf numFmtId="0" fontId="6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5" fillId="17" borderId="0" xfId="0" applyFont="1" applyFill="1" applyAlignment="1">
      <alignment horizontal="left" vertical="center"/>
    </xf>
    <xf numFmtId="0" fontId="51" fillId="23" borderId="2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53" fillId="22" borderId="2" xfId="0" applyFont="1" applyFill="1" applyBorder="1" applyAlignment="1">
      <alignment horizontal="left" vertical="center" wrapText="1"/>
    </xf>
    <xf numFmtId="0" fontId="53" fillId="7" borderId="2" xfId="0" applyFont="1" applyFill="1" applyBorder="1" applyAlignment="1">
      <alignment horizontal="left" vertical="center" wrapText="1"/>
    </xf>
    <xf numFmtId="0" fontId="53" fillId="4" borderId="2" xfId="0" applyFont="1" applyFill="1" applyBorder="1" applyAlignment="1">
      <alignment horizontal="left" vertical="center" wrapText="1"/>
    </xf>
    <xf numFmtId="0" fontId="60" fillId="2" borderId="0" xfId="0" applyFont="1" applyFill="1" applyAlignment="1">
      <alignment horizontal="center" vertical="center"/>
    </xf>
    <xf numFmtId="0" fontId="62" fillId="25" borderId="0" xfId="0" applyFont="1" applyFill="1" applyAlignment="1">
      <alignment horizontal="left" vertical="center" wrapText="1"/>
    </xf>
    <xf numFmtId="0" fontId="60" fillId="32" borderId="0" xfId="0" applyFont="1" applyFill="1" applyAlignment="1">
      <alignment horizontal="left" vertical="center"/>
    </xf>
    <xf numFmtId="0" fontId="0" fillId="0" borderId="0" xfId="0"/>
    <xf numFmtId="0" fontId="88" fillId="31" borderId="0" xfId="0" applyFont="1" applyFill="1" applyAlignment="1">
      <alignment horizontal="left" vertical="center"/>
    </xf>
    <xf numFmtId="0" fontId="60" fillId="14" borderId="0" xfId="0" applyFont="1" applyFill="1" applyAlignment="1">
      <alignment horizontal="left" vertical="center"/>
    </xf>
    <xf numFmtId="0" fontId="0" fillId="4" borderId="2" xfId="0" applyFill="1" applyBorder="1"/>
    <xf numFmtId="0" fontId="51" fillId="5" borderId="1" xfId="0" applyFont="1" applyFill="1" applyBorder="1" applyAlignment="1">
      <alignment horizontal="left" vertical="center"/>
    </xf>
    <xf numFmtId="0" fontId="4" fillId="34" borderId="1" xfId="0" applyFont="1" applyFill="1" applyBorder="1" applyAlignment="1">
      <alignment horizontal="left" vertical="center"/>
    </xf>
    <xf numFmtId="0" fontId="26" fillId="8" borderId="2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horizontal="left" vertical="center"/>
    </xf>
    <xf numFmtId="0" fontId="4" fillId="35" borderId="1" xfId="0" applyFont="1" applyFill="1" applyBorder="1" applyAlignment="1">
      <alignment horizontal="left" vertical="center"/>
    </xf>
    <xf numFmtId="0" fontId="26" fillId="24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8" borderId="2" xfId="0" applyFill="1" applyBorder="1"/>
    <xf numFmtId="0" fontId="26" fillId="33" borderId="2" xfId="0" applyFont="1" applyFill="1" applyBorder="1" applyAlignment="1">
      <alignment horizontal="left" vertical="center"/>
    </xf>
    <xf numFmtId="0" fontId="26" fillId="6" borderId="2" xfId="0" applyFont="1" applyFill="1" applyBorder="1" applyAlignment="1">
      <alignment horizontal="left" vertical="center"/>
    </xf>
    <xf numFmtId="0" fontId="26" fillId="8" borderId="2" xfId="0" applyFont="1" applyFill="1" applyBorder="1" applyAlignment="1">
      <alignment horizontal="left" vertical="center" wrapText="1"/>
    </xf>
    <xf numFmtId="0" fontId="26" fillId="22" borderId="2" xfId="0" applyFont="1" applyFill="1" applyBorder="1" applyAlignment="1">
      <alignment horizontal="left" vertical="center" wrapText="1"/>
    </xf>
    <xf numFmtId="0" fontId="26" fillId="6" borderId="2" xfId="0" applyFont="1" applyFill="1" applyBorder="1" applyAlignment="1">
      <alignment horizontal="left" vertical="center" wrapText="1"/>
    </xf>
    <xf numFmtId="0" fontId="0" fillId="21" borderId="2" xfId="0" applyFill="1" applyBorder="1"/>
    <xf numFmtId="0" fontId="26" fillId="21" borderId="2" xfId="0" applyFont="1" applyFill="1" applyBorder="1" applyAlignment="1">
      <alignment horizontal="left" vertical="center"/>
    </xf>
    <xf numFmtId="0" fontId="26" fillId="15" borderId="2" xfId="0" applyFont="1" applyFill="1" applyBorder="1" applyAlignment="1">
      <alignment horizontal="left" vertical="center"/>
    </xf>
    <xf numFmtId="0" fontId="129" fillId="2" borderId="1" xfId="0" applyFont="1" applyFill="1" applyBorder="1" applyAlignment="1">
      <alignment horizontal="left" vertical="center" wrapText="1"/>
    </xf>
    <xf numFmtId="0" fontId="130" fillId="3" borderId="1" xfId="0" applyFont="1" applyFill="1" applyBorder="1" applyAlignment="1">
      <alignment horizontal="left" vertical="center" wrapText="1"/>
    </xf>
    <xf numFmtId="0" fontId="132" fillId="2" borderId="1" xfId="0" applyFont="1" applyFill="1" applyBorder="1" applyAlignment="1">
      <alignment horizontal="left" vertical="center" wrapText="1"/>
    </xf>
    <xf numFmtId="0" fontId="96" fillId="2" borderId="0" xfId="0" applyFont="1" applyFill="1" applyAlignment="1">
      <alignment horizontal="left" vertical="center"/>
    </xf>
    <xf numFmtId="0" fontId="35" fillId="36" borderId="0" xfId="0" applyFont="1" applyFill="1" applyAlignment="1">
      <alignment horizontal="left" vertical="center"/>
    </xf>
    <xf numFmtId="0" fontId="53" fillId="23" borderId="2" xfId="0" applyFont="1" applyFill="1" applyBorder="1" applyAlignment="1">
      <alignment horizontal="left" vertical="center" wrapText="1"/>
    </xf>
    <xf numFmtId="0" fontId="35" fillId="10" borderId="0" xfId="0" applyFont="1" applyFill="1" applyAlignment="1">
      <alignment horizontal="left" vertical="center"/>
    </xf>
    <xf numFmtId="0" fontId="54" fillId="4" borderId="2" xfId="0" applyFont="1" applyFill="1" applyBorder="1" applyAlignment="1">
      <alignment horizontal="left" vertical="center" wrapText="1"/>
    </xf>
    <xf numFmtId="0" fontId="51" fillId="27" borderId="2" xfId="0" applyFont="1" applyFill="1" applyBorder="1" applyAlignment="1">
      <alignment horizontal="left" vertical="center" wrapText="1"/>
    </xf>
    <xf numFmtId="0" fontId="137" fillId="7" borderId="2" xfId="0" applyFont="1" applyFill="1" applyBorder="1" applyAlignment="1">
      <alignment horizontal="left" vertical="center" wrapText="1"/>
    </xf>
    <xf numFmtId="0" fontId="53" fillId="27" borderId="2" xfId="0" applyFont="1" applyFill="1" applyBorder="1" applyAlignment="1">
      <alignment horizontal="left" vertical="center" wrapText="1"/>
    </xf>
    <xf numFmtId="0" fontId="139" fillId="22" borderId="2" xfId="0" applyFont="1" applyFill="1" applyBorder="1" applyAlignment="1">
      <alignment horizontal="left" vertical="center" wrapText="1"/>
    </xf>
    <xf numFmtId="0" fontId="138" fillId="22" borderId="2" xfId="0" applyFont="1" applyFill="1" applyBorder="1" applyAlignment="1">
      <alignment horizontal="left" vertical="center" wrapText="1"/>
    </xf>
    <xf numFmtId="0" fontId="35" fillId="37" borderId="0" xfId="0" applyFont="1" applyFill="1" applyAlignment="1">
      <alignment horizontal="left" vertical="center"/>
    </xf>
    <xf numFmtId="0" fontId="4" fillId="38" borderId="2" xfId="0" applyFont="1" applyFill="1" applyBorder="1" applyAlignment="1">
      <alignment horizontal="center" vertical="center"/>
    </xf>
    <xf numFmtId="0" fontId="6" fillId="38" borderId="2" xfId="0" applyFont="1" applyFill="1" applyBorder="1" applyAlignment="1">
      <alignment horizontal="center" vertical="center"/>
    </xf>
    <xf numFmtId="0" fontId="141" fillId="3" borderId="2" xfId="0" applyFont="1" applyFill="1" applyBorder="1" applyAlignment="1">
      <alignment horizontal="left" vertical="center" wrapText="1"/>
    </xf>
    <xf numFmtId="0" fontId="142" fillId="4" borderId="2" xfId="0" applyFont="1" applyFill="1" applyBorder="1" applyAlignment="1">
      <alignment horizontal="left" vertical="center" wrapText="1"/>
    </xf>
    <xf numFmtId="0" fontId="144" fillId="8" borderId="2" xfId="0" applyFont="1" applyFill="1" applyBorder="1" applyAlignment="1">
      <alignment horizontal="left" vertical="center" wrapText="1"/>
    </xf>
    <xf numFmtId="0" fontId="57" fillId="8" borderId="2" xfId="0" applyFont="1" applyFill="1" applyBorder="1" applyAlignment="1">
      <alignment horizontal="left" vertical="center" wrapText="1"/>
    </xf>
    <xf numFmtId="0" fontId="56" fillId="6" borderId="2" xfId="0" applyFont="1" applyFill="1" applyBorder="1" applyAlignment="1">
      <alignment horizontal="left" vertical="center" wrapText="1"/>
    </xf>
    <xf numFmtId="0" fontId="0" fillId="0" borderId="7" xfId="0" applyBorder="1"/>
    <xf numFmtId="0" fontId="6" fillId="2" borderId="0" xfId="0" applyFont="1" applyFill="1" applyAlignment="1">
      <alignment horizontal="left" vertical="center" wrapText="1"/>
    </xf>
    <xf numFmtId="0" fontId="146" fillId="2" borderId="0" xfId="0" applyFont="1" applyFill="1" applyAlignment="1">
      <alignment horizontal="left" vertical="center"/>
    </xf>
    <xf numFmtId="0" fontId="35" fillId="39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52" fillId="35" borderId="1" xfId="0" applyFont="1" applyFill="1" applyBorder="1" applyAlignment="1">
      <alignment horizontal="left" vertical="center"/>
    </xf>
    <xf numFmtId="0" fontId="154" fillId="21" borderId="1" xfId="0" applyFont="1" applyFill="1" applyBorder="1" applyAlignment="1">
      <alignment horizontal="left" vertical="center"/>
    </xf>
    <xf numFmtId="0" fontId="96" fillId="13" borderId="1" xfId="0" applyFont="1" applyFill="1" applyBorder="1" applyAlignment="1">
      <alignment horizontal="left" vertical="center"/>
    </xf>
    <xf numFmtId="0" fontId="35" fillId="36" borderId="1" xfId="0" applyFont="1" applyFill="1" applyBorder="1" applyAlignment="1">
      <alignment horizontal="left" vertical="center"/>
    </xf>
    <xf numFmtId="0" fontId="29" fillId="4" borderId="2" xfId="0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left" vertical="top" wrapText="1"/>
    </xf>
    <xf numFmtId="0" fontId="35" fillId="2" borderId="1" xfId="0" applyFont="1" applyFill="1" applyBorder="1" applyAlignment="1">
      <alignment horizontal="left" vertical="center"/>
    </xf>
    <xf numFmtId="0" fontId="35" fillId="14" borderId="1" xfId="0" applyFont="1" applyFill="1" applyBorder="1" applyAlignment="1">
      <alignment horizontal="left" vertical="center"/>
    </xf>
    <xf numFmtId="0" fontId="53" fillId="21" borderId="8" xfId="0" applyFont="1" applyFill="1" applyBorder="1" applyAlignment="1">
      <alignment horizontal="left" vertical="top" wrapText="1"/>
    </xf>
    <xf numFmtId="0" fontId="148" fillId="22" borderId="2" xfId="0" applyFont="1" applyFill="1" applyBorder="1" applyAlignment="1">
      <alignment horizontal="center" vertical="center" wrapText="1"/>
    </xf>
    <xf numFmtId="0" fontId="51" fillId="22" borderId="1" xfId="0" applyFont="1" applyFill="1" applyBorder="1" applyAlignment="1">
      <alignment horizontal="left" vertical="top" wrapText="1"/>
    </xf>
    <xf numFmtId="0" fontId="53" fillId="22" borderId="1" xfId="0" applyFont="1" applyFill="1" applyBorder="1" applyAlignment="1">
      <alignment horizontal="left" vertical="top" wrapText="1"/>
    </xf>
    <xf numFmtId="0" fontId="122" fillId="7" borderId="2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horizontal="left" vertical="top" wrapText="1"/>
    </xf>
    <xf numFmtId="0" fontId="160" fillId="0" borderId="0" xfId="0" applyFont="1" applyAlignment="1">
      <alignment horizontal="left" vertical="center"/>
    </xf>
    <xf numFmtId="0" fontId="156" fillId="2" borderId="0" xfId="0" applyFont="1" applyFill="1" applyAlignment="1">
      <alignment horizontal="left" vertical="center"/>
    </xf>
    <xf numFmtId="0" fontId="76" fillId="31" borderId="3" xfId="0" applyFont="1" applyFill="1" applyBorder="1" applyAlignment="1">
      <alignment horizontal="center" vertical="center"/>
    </xf>
    <xf numFmtId="0" fontId="158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91E63"/>
      <rgbColor rgb="FFF0F2F6"/>
      <rgbColor rgb="FF0000FF"/>
      <rgbColor rgb="FFFFF5E0"/>
      <rgbColor rgb="FFFDEDEC"/>
      <rgbColor rgb="FFEAF0FB"/>
      <rgbColor rgb="FF8D1C26"/>
      <rgbColor rgb="FF165A23"/>
      <rgbColor rgb="FFF8FBFA"/>
      <rgbColor rgb="FF886706"/>
      <rgbColor rgb="FF6A1B9A"/>
      <rgbColor rgb="FF087354"/>
      <rgbColor rgb="FFCCCCCC"/>
      <rgbColor rgb="FF2D6A6A"/>
      <rgbColor rgb="FFEDE7F6"/>
      <rgbColor rgb="FF72368A"/>
      <rgbColor rgb="FFFFF9C4"/>
      <rgbColor rgb="FFE0F7FA"/>
      <rgbColor rgb="FF49148B"/>
      <rgbColor rgb="FFDE3F04"/>
      <rgbColor rgb="FF1668AE"/>
      <rgbColor rgb="FFCDCCCD"/>
      <rgbColor rgb="FFFFFDE7"/>
      <rgbColor rgb="FFF5EEF8"/>
      <rgbColor rgb="FFFFF8E1"/>
      <rgbColor rgb="FFECEFF1"/>
      <rgbColor rgb="FFFFF0EC"/>
      <rgbColor rgb="FFFFF3E0"/>
      <rgbColor rgb="FF207542"/>
      <rgbColor rgb="FFF5F7FA"/>
      <rgbColor rgb="FFEFE8F5"/>
      <rgbColor rgb="FFDFF2F7"/>
      <rgbColor rgb="FFE8F5E9"/>
      <rgbColor rgb="FFFFF3CD"/>
      <rgbColor rgb="FFDBE3DD"/>
      <rgbColor rgb="FFFCE4EC"/>
      <rgbColor rgb="FFEDE4F5"/>
      <rgbColor rgb="FFFDDDD7"/>
      <rgbColor rgb="FF2E5E84"/>
      <rgbColor rgb="FFE8F0FA"/>
      <rgbColor rgb="FFE8EDF3"/>
      <rgbColor rgb="FFFAE5E5"/>
      <rgbColor rgb="FFF3E5F5"/>
      <rgbColor rgb="FFED7F03"/>
      <rgbColor rgb="FF575A59"/>
      <rgbColor rgb="FF969A9C"/>
      <rgbColor rgb="FF1B2A4A"/>
      <rgbColor rgb="FF2091A9"/>
      <rgbColor rgb="FFF0F6FB"/>
      <rgbColor rgb="FF1B294B"/>
      <rgbColor rgb="FFA93226"/>
      <rgbColor rgb="FFC0392B"/>
      <rgbColor rgb="FF2F485F"/>
      <rgbColor rgb="FF2A3C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25"/>
  <cols>
    <col min="1" max="1" width="2" customWidth="1"/>
    <col min="2" max="2" width="16" customWidth="1"/>
    <col min="3" max="3" width="14" customWidth="1"/>
    <col min="4" max="15" width="9" customWidth="1"/>
    <col min="16" max="16" width="11" customWidth="1"/>
  </cols>
  <sheetData>
    <row r="1" spans="1:16" ht="31.5" customHeight="1">
      <c r="A1" s="618" t="s">
        <v>0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</row>
    <row r="2" spans="1:16" ht="18" customHeight="1">
      <c r="A2" s="619" t="s">
        <v>1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</row>
    <row r="3" spans="1:16" ht="30" customHeight="1">
      <c r="A3" s="4"/>
      <c r="B3" s="4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5" t="s">
        <v>16</v>
      </c>
    </row>
    <row r="4" spans="1:16" ht="21.75" customHeight="1">
      <c r="A4" s="620" t="s">
        <v>17</v>
      </c>
      <c r="B4" s="620"/>
      <c r="C4" s="620"/>
      <c r="D4" s="620"/>
      <c r="E4" s="620"/>
      <c r="F4" s="620"/>
      <c r="G4" s="620"/>
      <c r="H4" s="620"/>
      <c r="I4" s="620"/>
      <c r="J4" s="620"/>
      <c r="K4" s="620"/>
      <c r="L4" s="620"/>
      <c r="M4" s="620"/>
      <c r="N4" s="620"/>
      <c r="O4" s="620"/>
      <c r="P4" s="620"/>
    </row>
    <row r="5" spans="1:16" ht="21.75" customHeight="1">
      <c r="A5" s="6"/>
      <c r="B5" s="7" t="s">
        <v>18</v>
      </c>
      <c r="C5" s="8" t="s">
        <v>19</v>
      </c>
      <c r="D5" s="9">
        <v>100</v>
      </c>
      <c r="E5" s="9">
        <v>100</v>
      </c>
      <c r="F5" s="9">
        <v>300</v>
      </c>
      <c r="G5" s="9">
        <v>170</v>
      </c>
      <c r="H5" s="9">
        <v>315</v>
      </c>
      <c r="I5" s="9">
        <v>198</v>
      </c>
      <c r="J5" s="9">
        <v>248</v>
      </c>
      <c r="K5" s="9">
        <v>365</v>
      </c>
      <c r="L5" s="9">
        <v>248</v>
      </c>
      <c r="M5" s="9">
        <v>248</v>
      </c>
      <c r="N5" s="9">
        <v>248</v>
      </c>
      <c r="O5" s="9">
        <v>248</v>
      </c>
      <c r="P5" s="9">
        <f t="shared" ref="P5:P10" si="0">SUM(D5:O5)</f>
        <v>2788</v>
      </c>
    </row>
    <row r="6" spans="1:16" ht="21.75" customHeight="1">
      <c r="A6" s="10"/>
      <c r="B6" s="11" t="s">
        <v>20</v>
      </c>
      <c r="C6" s="12" t="s">
        <v>19</v>
      </c>
      <c r="D6" s="13">
        <v>180</v>
      </c>
      <c r="E6" s="13">
        <v>180</v>
      </c>
      <c r="F6" s="13">
        <v>540</v>
      </c>
      <c r="G6" s="13">
        <v>270</v>
      </c>
      <c r="H6" s="13">
        <v>432</v>
      </c>
      <c r="I6" s="13">
        <v>315</v>
      </c>
      <c r="J6" s="13">
        <v>385</v>
      </c>
      <c r="K6" s="13">
        <v>502</v>
      </c>
      <c r="L6" s="13">
        <v>385</v>
      </c>
      <c r="M6" s="13">
        <v>385</v>
      </c>
      <c r="N6" s="13">
        <v>385</v>
      </c>
      <c r="O6" s="13">
        <v>385</v>
      </c>
      <c r="P6" s="13">
        <f t="shared" si="0"/>
        <v>4344</v>
      </c>
    </row>
    <row r="7" spans="1:16" ht="21.75" customHeight="1">
      <c r="A7" s="14"/>
      <c r="B7" s="15" t="s">
        <v>21</v>
      </c>
      <c r="C7" s="16" t="s">
        <v>19</v>
      </c>
      <c r="D7" s="17">
        <v>140</v>
      </c>
      <c r="E7" s="17">
        <v>140</v>
      </c>
      <c r="F7" s="17">
        <v>420</v>
      </c>
      <c r="G7" s="17">
        <v>210</v>
      </c>
      <c r="H7" s="17">
        <v>307</v>
      </c>
      <c r="I7" s="17">
        <v>240</v>
      </c>
      <c r="J7" s="17">
        <v>300</v>
      </c>
      <c r="K7" s="17">
        <v>367</v>
      </c>
      <c r="L7" s="17">
        <v>300</v>
      </c>
      <c r="M7" s="17">
        <v>300</v>
      </c>
      <c r="N7" s="17">
        <v>300</v>
      </c>
      <c r="O7" s="17">
        <v>300</v>
      </c>
      <c r="P7" s="17">
        <f t="shared" si="0"/>
        <v>3324</v>
      </c>
    </row>
    <row r="8" spans="1:16" ht="21.75" customHeight="1">
      <c r="A8" s="18"/>
      <c r="B8" s="19" t="s">
        <v>22</v>
      </c>
      <c r="C8" s="20" t="s">
        <v>19</v>
      </c>
      <c r="D8" s="21">
        <v>120</v>
      </c>
      <c r="E8" s="21">
        <v>170</v>
      </c>
      <c r="F8" s="21">
        <v>410</v>
      </c>
      <c r="G8" s="21">
        <v>230</v>
      </c>
      <c r="H8" s="21">
        <v>337</v>
      </c>
      <c r="I8" s="21">
        <v>270</v>
      </c>
      <c r="J8" s="21">
        <v>320</v>
      </c>
      <c r="K8" s="21">
        <v>387</v>
      </c>
      <c r="L8" s="21">
        <v>320</v>
      </c>
      <c r="M8" s="21">
        <v>320</v>
      </c>
      <c r="N8" s="21">
        <v>320</v>
      </c>
      <c r="O8" s="21">
        <v>320</v>
      </c>
      <c r="P8" s="21">
        <f t="shared" si="0"/>
        <v>3524</v>
      </c>
    </row>
    <row r="9" spans="1:16" ht="21.75" customHeight="1">
      <c r="A9" s="22"/>
      <c r="B9" s="23" t="s">
        <v>23</v>
      </c>
      <c r="C9" s="24" t="s">
        <v>19</v>
      </c>
      <c r="D9" s="25">
        <v>0</v>
      </c>
      <c r="E9" s="25">
        <v>0</v>
      </c>
      <c r="F9" s="25">
        <v>0</v>
      </c>
      <c r="G9" s="25">
        <v>500</v>
      </c>
      <c r="H9" s="25">
        <v>0</v>
      </c>
      <c r="I9" s="25">
        <v>500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f t="shared" si="0"/>
        <v>1000</v>
      </c>
    </row>
    <row r="10" spans="1:16" ht="21.75" customHeight="1">
      <c r="A10" s="26"/>
      <c r="B10" s="27" t="s">
        <v>24</v>
      </c>
      <c r="C10" s="28" t="s">
        <v>19</v>
      </c>
      <c r="D10" s="29">
        <v>75</v>
      </c>
      <c r="E10" s="29">
        <v>75</v>
      </c>
      <c r="F10" s="29">
        <v>175</v>
      </c>
      <c r="G10" s="29">
        <v>138</v>
      </c>
      <c r="H10" s="29">
        <v>209</v>
      </c>
      <c r="I10" s="29">
        <v>143</v>
      </c>
      <c r="J10" s="29">
        <v>163</v>
      </c>
      <c r="K10" s="29">
        <v>163</v>
      </c>
      <c r="L10" s="29">
        <v>163</v>
      </c>
      <c r="M10" s="29">
        <v>163</v>
      </c>
      <c r="N10" s="29">
        <v>163</v>
      </c>
      <c r="O10" s="29">
        <v>113</v>
      </c>
      <c r="P10" s="29">
        <f t="shared" si="0"/>
        <v>1743</v>
      </c>
    </row>
    <row r="11" spans="1:16" ht="24" customHeight="1">
      <c r="A11" s="30"/>
      <c r="B11" s="31" t="s">
        <v>25</v>
      </c>
      <c r="C11" s="32" t="s">
        <v>19</v>
      </c>
      <c r="D11" s="33">
        <f t="shared" ref="D11:P11" si="1">SUM(D5:D10)</f>
        <v>615</v>
      </c>
      <c r="E11" s="33">
        <f t="shared" si="1"/>
        <v>665</v>
      </c>
      <c r="F11" s="33">
        <f t="shared" si="1"/>
        <v>1845</v>
      </c>
      <c r="G11" s="33">
        <f t="shared" si="1"/>
        <v>1518</v>
      </c>
      <c r="H11" s="33">
        <f t="shared" si="1"/>
        <v>1600</v>
      </c>
      <c r="I11" s="33">
        <f t="shared" si="1"/>
        <v>1666</v>
      </c>
      <c r="J11" s="33">
        <f t="shared" si="1"/>
        <v>1416</v>
      </c>
      <c r="K11" s="33">
        <f t="shared" si="1"/>
        <v>1784</v>
      </c>
      <c r="L11" s="33">
        <f t="shared" si="1"/>
        <v>1416</v>
      </c>
      <c r="M11" s="33">
        <f t="shared" si="1"/>
        <v>1416</v>
      </c>
      <c r="N11" s="33">
        <f t="shared" si="1"/>
        <v>1416</v>
      </c>
      <c r="O11" s="33">
        <f t="shared" si="1"/>
        <v>1366</v>
      </c>
      <c r="P11" s="33">
        <f t="shared" si="1"/>
        <v>16723</v>
      </c>
    </row>
    <row r="13" spans="1:16" ht="21.75" customHeight="1">
      <c r="A13" s="621" t="s">
        <v>26</v>
      </c>
      <c r="B13" s="621"/>
      <c r="C13" s="621"/>
      <c r="D13" s="621"/>
      <c r="E13" s="621"/>
      <c r="F13" s="621"/>
      <c r="G13" s="621"/>
      <c r="H13" s="621"/>
      <c r="I13" s="621"/>
      <c r="J13" s="621"/>
      <c r="K13" s="621"/>
      <c r="L13" s="621"/>
      <c r="M13" s="621"/>
      <c r="N13" s="621"/>
      <c r="O13" s="621"/>
      <c r="P13" s="621"/>
    </row>
    <row r="14" spans="1:16" ht="21.75" customHeight="1">
      <c r="A14" s="6"/>
      <c r="B14" s="7" t="s">
        <v>18</v>
      </c>
      <c r="C14" s="8" t="s">
        <v>27</v>
      </c>
      <c r="D14" s="9">
        <v>228250</v>
      </c>
      <c r="E14" s="9">
        <v>228250</v>
      </c>
      <c r="F14" s="9">
        <v>684750</v>
      </c>
      <c r="G14" s="9">
        <v>388025</v>
      </c>
      <c r="H14" s="9">
        <v>735525</v>
      </c>
      <c r="I14" s="9">
        <v>463108</v>
      </c>
      <c r="J14" s="9">
        <v>638108</v>
      </c>
      <c r="K14" s="9">
        <v>910525</v>
      </c>
      <c r="L14" s="9">
        <v>638108</v>
      </c>
      <c r="M14" s="9">
        <v>638108</v>
      </c>
      <c r="N14" s="9">
        <v>638108</v>
      </c>
      <c r="O14" s="9">
        <v>638108</v>
      </c>
      <c r="P14" s="9">
        <f t="shared" ref="P14:P19" si="2">SUM(D14:O14)</f>
        <v>6828973</v>
      </c>
    </row>
    <row r="15" spans="1:16" ht="21.75" customHeight="1">
      <c r="A15" s="10"/>
      <c r="B15" s="11" t="s">
        <v>20</v>
      </c>
      <c r="C15" s="12" t="s">
        <v>27</v>
      </c>
      <c r="D15" s="13">
        <v>598500</v>
      </c>
      <c r="E15" s="13">
        <v>598500</v>
      </c>
      <c r="F15" s="13">
        <v>1795500</v>
      </c>
      <c r="G15" s="13">
        <v>897750</v>
      </c>
      <c r="H15" s="13">
        <v>1470750</v>
      </c>
      <c r="I15" s="13">
        <v>1073250</v>
      </c>
      <c r="J15" s="13">
        <v>1423250</v>
      </c>
      <c r="K15" s="13">
        <v>1820750</v>
      </c>
      <c r="L15" s="13">
        <v>1423250</v>
      </c>
      <c r="M15" s="13">
        <v>1423250</v>
      </c>
      <c r="N15" s="13">
        <v>1423250</v>
      </c>
      <c r="O15" s="13">
        <v>1423250</v>
      </c>
      <c r="P15" s="13">
        <f t="shared" si="2"/>
        <v>15371250</v>
      </c>
    </row>
    <row r="16" spans="1:16" ht="21.75" customHeight="1">
      <c r="A16" s="14"/>
      <c r="B16" s="15" t="s">
        <v>21</v>
      </c>
      <c r="C16" s="16" t="s">
        <v>27</v>
      </c>
      <c r="D16" s="17">
        <v>438652</v>
      </c>
      <c r="E16" s="17">
        <v>438652</v>
      </c>
      <c r="F16" s="17">
        <v>1315954</v>
      </c>
      <c r="G16" s="17">
        <v>657977</v>
      </c>
      <c r="H16" s="17">
        <v>1021550</v>
      </c>
      <c r="I16" s="17">
        <v>780727</v>
      </c>
      <c r="J16" s="17">
        <v>1080727</v>
      </c>
      <c r="K16" s="17">
        <v>1321550</v>
      </c>
      <c r="L16" s="17">
        <v>1080727</v>
      </c>
      <c r="M16" s="17">
        <v>1080727</v>
      </c>
      <c r="N16" s="17">
        <v>1080727</v>
      </c>
      <c r="O16" s="17">
        <v>1080727</v>
      </c>
      <c r="P16" s="17">
        <f t="shared" si="2"/>
        <v>11378697</v>
      </c>
    </row>
    <row r="17" spans="1:16" ht="21.75" customHeight="1">
      <c r="A17" s="18"/>
      <c r="B17" s="19" t="s">
        <v>22</v>
      </c>
      <c r="C17" s="20" t="s">
        <v>27</v>
      </c>
      <c r="D17" s="21">
        <v>248400</v>
      </c>
      <c r="E17" s="21">
        <v>548400</v>
      </c>
      <c r="F17" s="21">
        <v>1045200</v>
      </c>
      <c r="G17" s="21">
        <v>672600</v>
      </c>
      <c r="H17" s="21">
        <v>936267</v>
      </c>
      <c r="I17" s="21">
        <v>762600</v>
      </c>
      <c r="J17" s="21">
        <v>937600</v>
      </c>
      <c r="K17" s="21">
        <v>1111267</v>
      </c>
      <c r="L17" s="21">
        <v>937600</v>
      </c>
      <c r="M17" s="21">
        <v>937600</v>
      </c>
      <c r="N17" s="21">
        <v>937600</v>
      </c>
      <c r="O17" s="21">
        <v>937600</v>
      </c>
      <c r="P17" s="21">
        <f t="shared" si="2"/>
        <v>10012734</v>
      </c>
    </row>
    <row r="18" spans="1:16" ht="21.75" customHeight="1">
      <c r="A18" s="22"/>
      <c r="B18" s="23" t="s">
        <v>23</v>
      </c>
      <c r="C18" s="24" t="s">
        <v>27</v>
      </c>
      <c r="D18" s="25">
        <v>0</v>
      </c>
      <c r="E18" s="25">
        <v>0</v>
      </c>
      <c r="F18" s="25">
        <v>0</v>
      </c>
      <c r="G18" s="25">
        <v>2500000</v>
      </c>
      <c r="H18" s="25">
        <v>0</v>
      </c>
      <c r="I18" s="25">
        <v>2500000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f t="shared" si="2"/>
        <v>5000000</v>
      </c>
    </row>
    <row r="19" spans="1:16" ht="21.75" customHeight="1">
      <c r="A19" s="26"/>
      <c r="B19" s="27" t="s">
        <v>24</v>
      </c>
      <c r="C19" s="28" t="s">
        <v>27</v>
      </c>
      <c r="D19" s="29">
        <v>176350</v>
      </c>
      <c r="E19" s="29">
        <v>176350</v>
      </c>
      <c r="F19" s="29">
        <v>432800</v>
      </c>
      <c r="G19" s="29">
        <v>312650</v>
      </c>
      <c r="H19" s="29">
        <v>524067</v>
      </c>
      <c r="I19" s="29">
        <v>327400</v>
      </c>
      <c r="J19" s="29">
        <v>397400</v>
      </c>
      <c r="K19" s="29">
        <v>397400</v>
      </c>
      <c r="L19" s="29">
        <v>397400</v>
      </c>
      <c r="M19" s="29">
        <v>397400</v>
      </c>
      <c r="N19" s="29">
        <v>397400</v>
      </c>
      <c r="O19" s="29">
        <v>301150</v>
      </c>
      <c r="P19" s="29">
        <f t="shared" si="2"/>
        <v>4237767</v>
      </c>
    </row>
    <row r="20" spans="1:16" ht="24" customHeight="1">
      <c r="A20" s="34"/>
      <c r="B20" s="31" t="s">
        <v>25</v>
      </c>
      <c r="C20" s="32" t="s">
        <v>27</v>
      </c>
      <c r="D20" s="33">
        <f t="shared" ref="D20:P20" si="3">SUM(D14:D19)</f>
        <v>1690152</v>
      </c>
      <c r="E20" s="33">
        <f t="shared" si="3"/>
        <v>1990152</v>
      </c>
      <c r="F20" s="33">
        <f t="shared" si="3"/>
        <v>5274204</v>
      </c>
      <c r="G20" s="33">
        <f t="shared" si="3"/>
        <v>5429002</v>
      </c>
      <c r="H20" s="33">
        <f t="shared" si="3"/>
        <v>4688159</v>
      </c>
      <c r="I20" s="33">
        <f t="shared" si="3"/>
        <v>5907085</v>
      </c>
      <c r="J20" s="33">
        <f t="shared" si="3"/>
        <v>4477085</v>
      </c>
      <c r="K20" s="33">
        <f t="shared" si="3"/>
        <v>5561492</v>
      </c>
      <c r="L20" s="33">
        <f t="shared" si="3"/>
        <v>4477085</v>
      </c>
      <c r="M20" s="33">
        <f t="shared" si="3"/>
        <v>4477085</v>
      </c>
      <c r="N20" s="33">
        <f t="shared" si="3"/>
        <v>4477085</v>
      </c>
      <c r="O20" s="33">
        <f t="shared" si="3"/>
        <v>4380835</v>
      </c>
      <c r="P20" s="33">
        <f t="shared" si="3"/>
        <v>52829421</v>
      </c>
    </row>
    <row r="22" spans="1:16" ht="21.75" customHeight="1">
      <c r="A22" s="622" t="s">
        <v>28</v>
      </c>
      <c r="B22" s="622"/>
      <c r="C22" s="622"/>
      <c r="D22" s="622"/>
      <c r="E22" s="622"/>
      <c r="F22" s="622"/>
      <c r="G22" s="622"/>
      <c r="H22" s="622"/>
      <c r="I22" s="622"/>
      <c r="J22" s="622"/>
      <c r="K22" s="622"/>
      <c r="L22" s="622"/>
      <c r="M22" s="622"/>
      <c r="N22" s="622"/>
      <c r="O22" s="622"/>
      <c r="P22" s="622"/>
    </row>
    <row r="23" spans="1:16" ht="21.75" customHeight="1">
      <c r="A23" s="10"/>
      <c r="B23" s="11" t="s">
        <v>29</v>
      </c>
      <c r="C23" s="35" t="s">
        <v>30</v>
      </c>
      <c r="D23" s="13">
        <v>2000</v>
      </c>
      <c r="E23" s="13">
        <v>2000</v>
      </c>
      <c r="F23" s="13">
        <v>5900</v>
      </c>
      <c r="G23" s="13">
        <v>3000</v>
      </c>
      <c r="H23" s="13">
        <v>4700</v>
      </c>
      <c r="I23" s="13">
        <v>3400</v>
      </c>
      <c r="J23" s="13">
        <v>4200</v>
      </c>
      <c r="K23" s="13">
        <v>5500</v>
      </c>
      <c r="L23" s="13">
        <v>4200</v>
      </c>
      <c r="M23" s="13">
        <v>4200</v>
      </c>
      <c r="N23" s="13">
        <v>4200</v>
      </c>
      <c r="O23" s="13">
        <v>4200</v>
      </c>
      <c r="P23" s="13">
        <f>SUM(D23:O23)</f>
        <v>47500</v>
      </c>
    </row>
    <row r="24" spans="1:16" ht="21.75" customHeight="1">
      <c r="A24" s="10"/>
      <c r="B24" s="11" t="s">
        <v>31</v>
      </c>
      <c r="C24" s="12" t="s">
        <v>32</v>
      </c>
      <c r="D24" s="13">
        <v>98</v>
      </c>
      <c r="E24" s="13">
        <v>98</v>
      </c>
      <c r="F24" s="13">
        <v>295</v>
      </c>
      <c r="G24" s="13">
        <v>148</v>
      </c>
      <c r="H24" s="13">
        <v>236</v>
      </c>
      <c r="I24" s="13">
        <v>172</v>
      </c>
      <c r="J24" s="13">
        <v>210</v>
      </c>
      <c r="K24" s="13">
        <v>274</v>
      </c>
      <c r="L24" s="13">
        <v>210</v>
      </c>
      <c r="M24" s="13">
        <v>210</v>
      </c>
      <c r="N24" s="13">
        <v>210</v>
      </c>
      <c r="O24" s="13">
        <v>210</v>
      </c>
      <c r="P24" s="13">
        <f>SUM(D24:O24)</f>
        <v>2371</v>
      </c>
    </row>
    <row r="25" spans="1:16" ht="21.75" customHeight="1">
      <c r="A25" s="36"/>
      <c r="B25" s="37" t="s">
        <v>33</v>
      </c>
      <c r="C25" s="38" t="s">
        <v>30</v>
      </c>
      <c r="D25" s="39">
        <v>10000</v>
      </c>
      <c r="E25" s="39">
        <v>10000</v>
      </c>
      <c r="F25" s="39">
        <v>29500</v>
      </c>
      <c r="G25" s="39">
        <v>15000</v>
      </c>
      <c r="H25" s="39">
        <v>23500</v>
      </c>
      <c r="I25" s="39">
        <v>17000</v>
      </c>
      <c r="J25" s="39">
        <v>21000</v>
      </c>
      <c r="K25" s="39">
        <v>27500</v>
      </c>
      <c r="L25" s="39">
        <v>21000</v>
      </c>
      <c r="M25" s="39">
        <v>21000</v>
      </c>
      <c r="N25" s="39">
        <v>21000</v>
      </c>
      <c r="O25" s="39">
        <v>21000</v>
      </c>
      <c r="P25" s="39">
        <f>SUM(D25:O25)</f>
        <v>237500</v>
      </c>
    </row>
    <row r="26" spans="1:16" ht="21.75" customHeight="1">
      <c r="A26" s="10"/>
      <c r="B26" s="40" t="s">
        <v>34</v>
      </c>
      <c r="C26" s="35" t="s">
        <v>35</v>
      </c>
      <c r="D26" s="41">
        <v>0.05</v>
      </c>
      <c r="E26" s="41">
        <v>0.05</v>
      </c>
      <c r="F26" s="41">
        <v>0.05</v>
      </c>
      <c r="G26" s="41">
        <v>0.05</v>
      </c>
      <c r="H26" s="41">
        <v>0.05</v>
      </c>
      <c r="I26" s="41">
        <v>0.05</v>
      </c>
      <c r="J26" s="41">
        <v>0.05</v>
      </c>
      <c r="K26" s="41">
        <v>0.05</v>
      </c>
      <c r="L26" s="41">
        <v>0.05</v>
      </c>
      <c r="M26" s="41">
        <v>0.05</v>
      </c>
      <c r="N26" s="41">
        <v>0.05</v>
      </c>
      <c r="O26" s="41">
        <v>0.05</v>
      </c>
      <c r="P26" s="41">
        <v>0.05</v>
      </c>
    </row>
    <row r="27" spans="1:16" ht="21.75" customHeight="1">
      <c r="A27" s="10"/>
      <c r="B27" s="40" t="s">
        <v>36</v>
      </c>
      <c r="C27" s="12" t="s">
        <v>37</v>
      </c>
      <c r="D27" s="42">
        <v>1.83</v>
      </c>
      <c r="E27" s="42">
        <v>1.83</v>
      </c>
      <c r="F27" s="42">
        <v>1.83</v>
      </c>
      <c r="G27" s="42">
        <v>1.83</v>
      </c>
      <c r="H27" s="42">
        <v>1.83</v>
      </c>
      <c r="I27" s="42">
        <v>1.83</v>
      </c>
      <c r="J27" s="42">
        <v>1.83</v>
      </c>
      <c r="K27" s="42">
        <v>1.83</v>
      </c>
      <c r="L27" s="42">
        <v>1.83</v>
      </c>
      <c r="M27" s="42">
        <v>1.83</v>
      </c>
      <c r="N27" s="42">
        <v>1.83</v>
      </c>
      <c r="O27" s="42">
        <v>1.83</v>
      </c>
      <c r="P27" s="42">
        <v>1.83</v>
      </c>
    </row>
    <row r="29" spans="1:16" ht="21.75" customHeight="1">
      <c r="A29" s="624" t="s">
        <v>38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/>
      <c r="L29" s="624"/>
      <c r="M29" s="624"/>
      <c r="N29" s="624"/>
      <c r="O29" s="624"/>
      <c r="P29" s="624"/>
    </row>
    <row r="30" spans="1:16" ht="21.75" customHeight="1">
      <c r="A30" s="6"/>
      <c r="B30" s="7" t="s">
        <v>39</v>
      </c>
      <c r="C30" s="8" t="s">
        <v>40</v>
      </c>
      <c r="D30" s="9">
        <v>3</v>
      </c>
      <c r="E30" s="9">
        <v>4</v>
      </c>
      <c r="F30" s="9">
        <v>5</v>
      </c>
      <c r="G30" s="9">
        <v>6</v>
      </c>
      <c r="H30" s="9">
        <v>8</v>
      </c>
      <c r="I30" s="9">
        <v>10</v>
      </c>
      <c r="J30" s="9">
        <v>12</v>
      </c>
      <c r="K30" s="9">
        <v>14</v>
      </c>
      <c r="L30" s="9">
        <v>16</v>
      </c>
      <c r="M30" s="9">
        <v>18</v>
      </c>
      <c r="N30" s="9">
        <v>20</v>
      </c>
      <c r="O30" s="9">
        <v>21</v>
      </c>
      <c r="P30" s="9">
        <f>SUM(D30:O30)</f>
        <v>137</v>
      </c>
    </row>
    <row r="31" spans="1:16" ht="21.75" customHeight="1">
      <c r="A31" s="6"/>
      <c r="B31" s="7" t="s">
        <v>41</v>
      </c>
      <c r="C31" s="8" t="s">
        <v>42</v>
      </c>
      <c r="D31" s="9">
        <v>6</v>
      </c>
      <c r="E31" s="9">
        <v>7</v>
      </c>
      <c r="F31" s="9">
        <v>8</v>
      </c>
      <c r="G31" s="9">
        <v>10</v>
      </c>
      <c r="H31" s="9">
        <v>12</v>
      </c>
      <c r="I31" s="9">
        <v>14</v>
      </c>
      <c r="J31" s="9">
        <v>14</v>
      </c>
      <c r="K31" s="9">
        <v>16</v>
      </c>
      <c r="L31" s="9">
        <v>14</v>
      </c>
      <c r="M31" s="9">
        <v>14</v>
      </c>
      <c r="N31" s="9">
        <v>14</v>
      </c>
      <c r="O31" s="9">
        <v>12</v>
      </c>
      <c r="P31" s="9">
        <f>SUM(D31:O31)</f>
        <v>141</v>
      </c>
    </row>
    <row r="32" spans="1:16" ht="21.75" customHeight="1">
      <c r="A32" s="26"/>
      <c r="B32" s="27" t="s">
        <v>43</v>
      </c>
      <c r="C32" s="28" t="s">
        <v>42</v>
      </c>
      <c r="D32" s="29">
        <v>10</v>
      </c>
      <c r="E32" s="29">
        <v>10</v>
      </c>
      <c r="F32" s="29">
        <v>15</v>
      </c>
      <c r="G32" s="29">
        <v>20</v>
      </c>
      <c r="H32" s="29">
        <v>20</v>
      </c>
      <c r="I32" s="29">
        <v>20</v>
      </c>
      <c r="J32" s="29">
        <v>20</v>
      </c>
      <c r="K32" s="29">
        <v>20</v>
      </c>
      <c r="L32" s="29">
        <v>15</v>
      </c>
      <c r="M32" s="29">
        <v>15</v>
      </c>
      <c r="N32" s="29">
        <v>15</v>
      </c>
      <c r="O32" s="29">
        <v>10</v>
      </c>
      <c r="P32" s="29">
        <f>SUM(D32:O32)</f>
        <v>190</v>
      </c>
    </row>
    <row r="33" spans="1:16" ht="21.75" customHeight="1">
      <c r="A33" s="26"/>
      <c r="B33" s="27" t="s">
        <v>44</v>
      </c>
      <c r="C33" s="28" t="s">
        <v>42</v>
      </c>
      <c r="D33" s="29">
        <v>3</v>
      </c>
      <c r="E33" s="29">
        <v>3</v>
      </c>
      <c r="F33" s="29">
        <v>5</v>
      </c>
      <c r="G33" s="29">
        <v>5</v>
      </c>
      <c r="H33" s="29">
        <v>7</v>
      </c>
      <c r="I33" s="29">
        <v>7</v>
      </c>
      <c r="J33" s="29">
        <v>7</v>
      </c>
      <c r="K33" s="29">
        <v>7</v>
      </c>
      <c r="L33" s="29">
        <v>5</v>
      </c>
      <c r="M33" s="29">
        <v>5</v>
      </c>
      <c r="N33" s="29">
        <v>5</v>
      </c>
      <c r="O33" s="29">
        <v>3</v>
      </c>
      <c r="P33" s="29">
        <f>SUM(D33:O33)</f>
        <v>62</v>
      </c>
    </row>
    <row r="34" spans="1:16" ht="21.75" customHeight="1">
      <c r="A34" s="26"/>
      <c r="B34" s="27" t="s">
        <v>45</v>
      </c>
      <c r="C34" s="28" t="s">
        <v>46</v>
      </c>
      <c r="D34" s="29">
        <v>3</v>
      </c>
      <c r="E34" s="29">
        <v>4</v>
      </c>
      <c r="F34" s="29">
        <v>5</v>
      </c>
      <c r="G34" s="29">
        <v>6</v>
      </c>
      <c r="H34" s="29">
        <v>8</v>
      </c>
      <c r="I34" s="29">
        <v>10</v>
      </c>
      <c r="J34" s="29">
        <v>12</v>
      </c>
      <c r="K34" s="29">
        <v>14</v>
      </c>
      <c r="L34" s="29">
        <v>16</v>
      </c>
      <c r="M34" s="29">
        <v>18</v>
      </c>
      <c r="N34" s="29">
        <v>20</v>
      </c>
      <c r="O34" s="29">
        <v>22</v>
      </c>
      <c r="P34" s="29">
        <f>SUM(D34:O34)</f>
        <v>138</v>
      </c>
    </row>
    <row r="36" spans="1:16" ht="21.75" customHeight="1">
      <c r="A36" s="625" t="s">
        <v>47</v>
      </c>
      <c r="B36" s="625"/>
      <c r="C36" s="625"/>
      <c r="D36" s="625"/>
      <c r="E36" s="625"/>
      <c r="F36" s="625"/>
      <c r="G36" s="625"/>
      <c r="H36" s="625"/>
      <c r="I36" s="625"/>
      <c r="J36" s="625"/>
      <c r="K36" s="625"/>
      <c r="L36" s="625"/>
      <c r="M36" s="625"/>
      <c r="N36" s="625"/>
      <c r="O36" s="625"/>
      <c r="P36" s="625"/>
    </row>
    <row r="37" spans="1:16" ht="21.75" customHeight="1">
      <c r="A37" s="26"/>
      <c r="B37" s="43" t="s">
        <v>48</v>
      </c>
      <c r="C37" s="28" t="s">
        <v>42</v>
      </c>
      <c r="D37" s="29">
        <v>1</v>
      </c>
      <c r="E37" s="29">
        <v>2</v>
      </c>
      <c r="F37" s="29">
        <v>3</v>
      </c>
      <c r="G37" s="29">
        <v>5</v>
      </c>
      <c r="H37" s="29">
        <v>6</v>
      </c>
      <c r="I37" s="29">
        <v>7</v>
      </c>
      <c r="J37" s="29">
        <v>7</v>
      </c>
      <c r="K37" s="29">
        <v>8</v>
      </c>
      <c r="L37" s="29">
        <v>7</v>
      </c>
      <c r="M37" s="29">
        <v>7</v>
      </c>
      <c r="N37" s="29">
        <v>7</v>
      </c>
      <c r="O37" s="29">
        <v>5</v>
      </c>
      <c r="P37" s="29">
        <f>SUM(D37:O37)</f>
        <v>65</v>
      </c>
    </row>
    <row r="38" spans="1:16" ht="21.75" customHeight="1">
      <c r="A38" s="26"/>
      <c r="B38" s="27" t="s">
        <v>49</v>
      </c>
      <c r="C38" s="44" t="s">
        <v>35</v>
      </c>
      <c r="D38" s="45">
        <v>0.1</v>
      </c>
      <c r="E38" s="45">
        <v>0.1</v>
      </c>
      <c r="F38" s="45">
        <v>0.12</v>
      </c>
      <c r="G38" s="45">
        <v>0.15</v>
      </c>
      <c r="H38" s="45">
        <v>0.15</v>
      </c>
      <c r="I38" s="45">
        <v>0.18</v>
      </c>
      <c r="J38" s="45">
        <v>0.18</v>
      </c>
      <c r="K38" s="45">
        <v>0.2</v>
      </c>
      <c r="L38" s="45">
        <v>0.2</v>
      </c>
      <c r="M38" s="45">
        <v>0.2</v>
      </c>
      <c r="N38" s="45">
        <v>0.2</v>
      </c>
      <c r="O38" s="45">
        <v>0.2</v>
      </c>
      <c r="P38" s="45">
        <f>SUM(D38:O38)</f>
        <v>1.9799999999999998</v>
      </c>
    </row>
    <row r="40" spans="1:16" ht="21.75" customHeight="1">
      <c r="A40" s="626" t="s">
        <v>50</v>
      </c>
      <c r="B40" s="626"/>
      <c r="C40" s="626"/>
      <c r="D40" s="626"/>
      <c r="E40" s="626"/>
      <c r="F40" s="626"/>
      <c r="G40" s="626"/>
      <c r="H40" s="626"/>
      <c r="I40" s="626"/>
      <c r="J40" s="626"/>
      <c r="K40" s="626"/>
      <c r="L40" s="626"/>
      <c r="M40" s="626"/>
      <c r="N40" s="626"/>
      <c r="O40" s="626"/>
      <c r="P40" s="626"/>
    </row>
    <row r="41" spans="1:16" ht="21.75" customHeight="1">
      <c r="A41" s="46"/>
      <c r="B41" s="47" t="s">
        <v>18</v>
      </c>
      <c r="C41" s="16" t="s">
        <v>27</v>
      </c>
      <c r="D41" s="48">
        <v>71362</v>
      </c>
      <c r="E41" s="48">
        <v>71362</v>
      </c>
      <c r="F41" s="48">
        <v>214088</v>
      </c>
      <c r="G41" s="48">
        <v>121316</v>
      </c>
      <c r="H41" s="48">
        <v>228454</v>
      </c>
      <c r="I41" s="48">
        <v>143841</v>
      </c>
      <c r="J41" s="48">
        <v>196341</v>
      </c>
      <c r="K41" s="48">
        <v>280954</v>
      </c>
      <c r="L41" s="48">
        <v>196341</v>
      </c>
      <c r="M41" s="48">
        <v>196341</v>
      </c>
      <c r="N41" s="48">
        <v>196341</v>
      </c>
      <c r="O41" s="48">
        <v>196341</v>
      </c>
      <c r="P41" s="49">
        <f t="shared" ref="P41:P47" si="4">SUM(D41:O41)</f>
        <v>2113082</v>
      </c>
    </row>
    <row r="42" spans="1:16" ht="21.75" customHeight="1">
      <c r="A42" s="50"/>
      <c r="B42" s="51" t="s">
        <v>20</v>
      </c>
      <c r="C42" s="12" t="s">
        <v>27</v>
      </c>
      <c r="D42" s="52">
        <v>186975</v>
      </c>
      <c r="E42" s="52">
        <v>186975</v>
      </c>
      <c r="F42" s="52">
        <v>560925</v>
      </c>
      <c r="G42" s="52">
        <v>280462</v>
      </c>
      <c r="H42" s="52">
        <v>456488</v>
      </c>
      <c r="I42" s="52">
        <v>333112</v>
      </c>
      <c r="J42" s="52">
        <v>438112</v>
      </c>
      <c r="K42" s="52">
        <v>561488</v>
      </c>
      <c r="L42" s="52">
        <v>438112</v>
      </c>
      <c r="M42" s="52">
        <v>438112</v>
      </c>
      <c r="N42" s="52">
        <v>438112</v>
      </c>
      <c r="O42" s="52">
        <v>438112</v>
      </c>
      <c r="P42" s="49">
        <f t="shared" si="4"/>
        <v>4756985</v>
      </c>
    </row>
    <row r="43" spans="1:16" ht="21.75" customHeight="1">
      <c r="A43" s="53"/>
      <c r="B43" s="54" t="s">
        <v>21</v>
      </c>
      <c r="C43" s="55" t="s">
        <v>27</v>
      </c>
      <c r="D43" s="56">
        <v>137370</v>
      </c>
      <c r="E43" s="56">
        <v>137370</v>
      </c>
      <c r="F43" s="56">
        <v>412111</v>
      </c>
      <c r="G43" s="56">
        <v>206056</v>
      </c>
      <c r="H43" s="56">
        <v>314715</v>
      </c>
      <c r="I43" s="56">
        <v>242468</v>
      </c>
      <c r="J43" s="56">
        <v>332468</v>
      </c>
      <c r="K43" s="56">
        <v>404715</v>
      </c>
      <c r="L43" s="56">
        <v>332468</v>
      </c>
      <c r="M43" s="56">
        <v>332468</v>
      </c>
      <c r="N43" s="56">
        <v>332468</v>
      </c>
      <c r="O43" s="56">
        <v>332468</v>
      </c>
      <c r="P43" s="49">
        <f t="shared" si="4"/>
        <v>3517145</v>
      </c>
    </row>
    <row r="44" spans="1:16" ht="21.75" customHeight="1">
      <c r="A44" s="57"/>
      <c r="B44" s="58" t="s">
        <v>22</v>
      </c>
      <c r="C44" s="20" t="s">
        <v>27</v>
      </c>
      <c r="D44" s="59">
        <v>77220</v>
      </c>
      <c r="E44" s="59">
        <v>167220</v>
      </c>
      <c r="F44" s="59">
        <v>321660</v>
      </c>
      <c r="G44" s="59">
        <v>205830</v>
      </c>
      <c r="H44" s="59">
        <v>285380</v>
      </c>
      <c r="I44" s="59">
        <v>233280</v>
      </c>
      <c r="J44" s="59">
        <v>285780</v>
      </c>
      <c r="K44" s="59">
        <v>337880</v>
      </c>
      <c r="L44" s="59">
        <v>285780</v>
      </c>
      <c r="M44" s="59">
        <v>285780</v>
      </c>
      <c r="N44" s="59">
        <v>285780</v>
      </c>
      <c r="O44" s="59">
        <v>285780</v>
      </c>
      <c r="P44" s="49">
        <f t="shared" si="4"/>
        <v>3057370</v>
      </c>
    </row>
    <row r="45" spans="1:16" ht="21.75" customHeight="1">
      <c r="A45" s="60"/>
      <c r="B45" s="61" t="s">
        <v>23</v>
      </c>
      <c r="C45" s="24" t="s">
        <v>27</v>
      </c>
      <c r="D45" s="62">
        <v>0</v>
      </c>
      <c r="E45" s="62">
        <v>0</v>
      </c>
      <c r="F45" s="62">
        <v>0</v>
      </c>
      <c r="G45" s="62">
        <v>500000</v>
      </c>
      <c r="H45" s="62">
        <v>0</v>
      </c>
      <c r="I45" s="62">
        <v>500000</v>
      </c>
      <c r="J45" s="62">
        <v>0</v>
      </c>
      <c r="K45" s="62">
        <v>0</v>
      </c>
      <c r="L45" s="62">
        <v>0</v>
      </c>
      <c r="M45" s="62">
        <v>0</v>
      </c>
      <c r="N45" s="62">
        <v>0</v>
      </c>
      <c r="O45" s="62">
        <v>0</v>
      </c>
      <c r="P45" s="49">
        <f t="shared" si="4"/>
        <v>1000000</v>
      </c>
    </row>
    <row r="46" spans="1:16" ht="21.75" customHeight="1">
      <c r="A46" s="63"/>
      <c r="B46" s="64" t="s">
        <v>24</v>
      </c>
      <c r="C46" s="28" t="s">
        <v>27</v>
      </c>
      <c r="D46" s="65">
        <v>61162</v>
      </c>
      <c r="E46" s="65">
        <v>61162</v>
      </c>
      <c r="F46" s="65">
        <v>151725</v>
      </c>
      <c r="G46" s="65">
        <v>107625</v>
      </c>
      <c r="H46" s="65">
        <v>215300</v>
      </c>
      <c r="I46" s="65">
        <v>112050</v>
      </c>
      <c r="J46" s="65">
        <v>133050</v>
      </c>
      <c r="K46" s="65">
        <v>133050</v>
      </c>
      <c r="L46" s="65">
        <v>133050</v>
      </c>
      <c r="M46" s="65">
        <v>133050</v>
      </c>
      <c r="N46" s="65">
        <v>133050</v>
      </c>
      <c r="O46" s="65">
        <v>101288</v>
      </c>
      <c r="P46" s="49">
        <f t="shared" si="4"/>
        <v>1475562</v>
      </c>
    </row>
    <row r="47" spans="1:16" ht="24" customHeight="1">
      <c r="A47" s="66"/>
      <c r="B47" s="31" t="s">
        <v>25</v>
      </c>
      <c r="C47" s="32" t="s">
        <v>27</v>
      </c>
      <c r="D47" s="33">
        <v>534090</v>
      </c>
      <c r="E47" s="33">
        <v>624090</v>
      </c>
      <c r="F47" s="33">
        <v>1660509</v>
      </c>
      <c r="G47" s="33">
        <v>1421289</v>
      </c>
      <c r="H47" s="33">
        <v>1500336</v>
      </c>
      <c r="I47" s="33">
        <v>1564752</v>
      </c>
      <c r="J47" s="33">
        <v>1385752</v>
      </c>
      <c r="K47" s="33">
        <v>1718086</v>
      </c>
      <c r="L47" s="33">
        <v>1385752</v>
      </c>
      <c r="M47" s="33">
        <v>1385752</v>
      </c>
      <c r="N47" s="33">
        <v>1385752</v>
      </c>
      <c r="O47" s="33">
        <v>1353989</v>
      </c>
      <c r="P47" s="33">
        <f t="shared" si="4"/>
        <v>15920149</v>
      </c>
    </row>
    <row r="48" spans="1:16" ht="18" customHeight="1">
      <c r="A48" s="627" t="s">
        <v>51</v>
      </c>
      <c r="B48" s="627"/>
      <c r="C48" s="627"/>
      <c r="D48" s="627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</row>
    <row r="50" spans="1:16" ht="16.5" customHeight="1">
      <c r="A50" s="67"/>
      <c r="B50" s="628" t="s">
        <v>52</v>
      </c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8"/>
      <c r="P50" s="628"/>
    </row>
    <row r="51" spans="1:16" ht="15" customHeight="1">
      <c r="A51" s="1"/>
      <c r="B51" s="623" t="s">
        <v>53</v>
      </c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</row>
    <row r="53" spans="1:16" ht="15" customHeight="1">
      <c r="A53" s="68"/>
      <c r="B53" s="69" t="s">
        <v>54</v>
      </c>
      <c r="C53" s="70" t="s">
        <v>3</v>
      </c>
      <c r="D53" s="71" t="s">
        <v>55</v>
      </c>
      <c r="E53" s="71" t="s">
        <v>56</v>
      </c>
      <c r="F53" s="71" t="s">
        <v>57</v>
      </c>
      <c r="G53" s="71" t="s">
        <v>58</v>
      </c>
      <c r="H53" s="71" t="s">
        <v>59</v>
      </c>
      <c r="I53" s="71" t="s">
        <v>60</v>
      </c>
      <c r="J53" s="71" t="s">
        <v>61</v>
      </c>
      <c r="K53" s="71" t="s">
        <v>62</v>
      </c>
      <c r="L53" s="71" t="s">
        <v>63</v>
      </c>
      <c r="M53" s="71" t="s">
        <v>64</v>
      </c>
      <c r="N53" s="71" t="s">
        <v>65</v>
      </c>
      <c r="O53" s="71" t="s">
        <v>66</v>
      </c>
    </row>
    <row r="54" spans="1:16" ht="15" customHeight="1">
      <c r="A54" s="72"/>
      <c r="B54" s="72" t="s">
        <v>67</v>
      </c>
      <c r="C54" s="73" t="s">
        <v>27</v>
      </c>
      <c r="D54" s="74">
        <v>108000</v>
      </c>
      <c r="E54" s="74">
        <v>104400</v>
      </c>
      <c r="F54" s="74">
        <v>295920</v>
      </c>
      <c r="G54" s="74">
        <v>313552</v>
      </c>
      <c r="H54" s="74">
        <v>1056880</v>
      </c>
      <c r="I54" s="74">
        <v>1115500</v>
      </c>
      <c r="J54" s="74">
        <v>1779930</v>
      </c>
      <c r="K54" s="74">
        <v>1111824</v>
      </c>
      <c r="L54" s="74">
        <v>737540</v>
      </c>
      <c r="M54" s="75"/>
      <c r="N54" s="75"/>
      <c r="O54" s="74">
        <v>126000</v>
      </c>
    </row>
    <row r="55" spans="1:16" ht="15" customHeight="1">
      <c r="A55" s="72"/>
      <c r="B55" s="72" t="s">
        <v>68</v>
      </c>
      <c r="C55" s="73" t="s">
        <v>27</v>
      </c>
      <c r="D55" s="76">
        <v>64894</v>
      </c>
      <c r="E55" s="76">
        <v>60940</v>
      </c>
      <c r="F55" s="76">
        <v>197016</v>
      </c>
      <c r="G55" s="76">
        <v>225910</v>
      </c>
      <c r="H55" s="76">
        <v>670576</v>
      </c>
      <c r="I55" s="76">
        <v>723570</v>
      </c>
      <c r="J55" s="76">
        <v>1299544</v>
      </c>
      <c r="K55" s="76">
        <v>729584</v>
      </c>
      <c r="L55" s="76">
        <v>398585</v>
      </c>
      <c r="M55" s="75"/>
      <c r="N55" s="75"/>
      <c r="O55" s="76">
        <v>76290</v>
      </c>
    </row>
    <row r="56" spans="1:16" ht="15" customHeight="1">
      <c r="A56" s="77"/>
      <c r="B56" s="77" t="s">
        <v>69</v>
      </c>
      <c r="C56" s="73" t="s">
        <v>27</v>
      </c>
      <c r="D56" s="78">
        <v>38936</v>
      </c>
      <c r="E56" s="78">
        <v>36564</v>
      </c>
      <c r="F56" s="78">
        <v>118210</v>
      </c>
      <c r="G56" s="78">
        <v>135546</v>
      </c>
      <c r="H56" s="78">
        <v>402346</v>
      </c>
      <c r="I56" s="78">
        <v>434142</v>
      </c>
      <c r="J56" s="78">
        <v>779726</v>
      </c>
      <c r="K56" s="78">
        <v>437750</v>
      </c>
      <c r="L56" s="78">
        <v>239151</v>
      </c>
      <c r="M56" s="79"/>
      <c r="N56" s="79"/>
      <c r="O56" s="78">
        <v>45774</v>
      </c>
    </row>
    <row r="57" spans="1:16" ht="15" customHeight="1">
      <c r="A57" s="80"/>
      <c r="B57" s="81" t="s">
        <v>70</v>
      </c>
      <c r="C57" s="82" t="s">
        <v>27</v>
      </c>
      <c r="D57" s="82">
        <f t="shared" ref="D57:O57" si="5">D47</f>
        <v>534090</v>
      </c>
      <c r="E57" s="82">
        <f t="shared" si="5"/>
        <v>624090</v>
      </c>
      <c r="F57" s="82">
        <f t="shared" si="5"/>
        <v>1660509</v>
      </c>
      <c r="G57" s="82">
        <f t="shared" si="5"/>
        <v>1421289</v>
      </c>
      <c r="H57" s="82">
        <f t="shared" si="5"/>
        <v>1500336</v>
      </c>
      <c r="I57" s="82">
        <f t="shared" si="5"/>
        <v>1564752</v>
      </c>
      <c r="J57" s="82">
        <f t="shared" si="5"/>
        <v>1385752</v>
      </c>
      <c r="K57" s="82">
        <f t="shared" si="5"/>
        <v>1718086</v>
      </c>
      <c r="L57" s="82">
        <f t="shared" si="5"/>
        <v>1385752</v>
      </c>
      <c r="M57" s="82">
        <f t="shared" si="5"/>
        <v>1385752</v>
      </c>
      <c r="N57" s="82">
        <f t="shared" si="5"/>
        <v>1385752</v>
      </c>
      <c r="O57" s="82">
        <f t="shared" si="5"/>
        <v>1353989</v>
      </c>
    </row>
    <row r="58" spans="1:16" ht="15" customHeight="1">
      <c r="A58" s="83"/>
      <c r="B58" s="83" t="s">
        <v>71</v>
      </c>
      <c r="C58" s="84" t="s">
        <v>35</v>
      </c>
      <c r="D58" s="84">
        <f t="shared" ref="D58:L58" si="6">IFERROR(D56/D57,"")</f>
        <v>7.2901570896290888E-2</v>
      </c>
      <c r="E58" s="84">
        <f t="shared" si="6"/>
        <v>5.858770369658222E-2</v>
      </c>
      <c r="F58" s="84">
        <f t="shared" si="6"/>
        <v>7.1189014934577285E-2</v>
      </c>
      <c r="G58" s="84">
        <f t="shared" si="6"/>
        <v>9.5368359285127796E-2</v>
      </c>
      <c r="H58" s="84">
        <f t="shared" si="6"/>
        <v>0.26817059645306118</v>
      </c>
      <c r="I58" s="84">
        <f t="shared" si="6"/>
        <v>0.27745099542930762</v>
      </c>
      <c r="J58" s="84">
        <f t="shared" si="6"/>
        <v>0.56267355197755442</v>
      </c>
      <c r="K58" s="84">
        <f t="shared" si="6"/>
        <v>0.25478934116220026</v>
      </c>
      <c r="L58" s="84">
        <f t="shared" si="6"/>
        <v>0.17257849889446308</v>
      </c>
      <c r="M58" s="85" t="s">
        <v>72</v>
      </c>
      <c r="N58" s="86" t="s">
        <v>72</v>
      </c>
      <c r="O58" s="84">
        <f>IFERROR(O56/O57,"")</f>
        <v>3.3806773910275492E-2</v>
      </c>
    </row>
  </sheetData>
  <mergeCells count="11">
    <mergeCell ref="B51:P51"/>
    <mergeCell ref="A29:P29"/>
    <mergeCell ref="A36:P36"/>
    <mergeCell ref="A40:P40"/>
    <mergeCell ref="A48:P48"/>
    <mergeCell ref="B50:P50"/>
    <mergeCell ref="A1:P1"/>
    <mergeCell ref="A2:P2"/>
    <mergeCell ref="A4:P4"/>
    <mergeCell ref="A13:P13"/>
    <mergeCell ref="A22:P22"/>
  </mergeCells>
  <phoneticPr fontId="202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25"/>
  <cols>
    <col min="1" max="1" width="2" customWidth="1"/>
    <col min="2" max="2" width="18" customWidth="1"/>
    <col min="3" max="3" width="26" customWidth="1"/>
    <col min="4" max="15" width="15" customWidth="1"/>
  </cols>
  <sheetData>
    <row r="1" spans="1:15" ht="31.5" customHeight="1">
      <c r="A1" s="618" t="s">
        <v>73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5" ht="15" customHeight="1">
      <c r="A2" s="630" t="s">
        <v>74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</row>
    <row r="3" spans="1:15" ht="31.5" customHeight="1">
      <c r="A3" s="4"/>
      <c r="B3" s="5" t="s">
        <v>75</v>
      </c>
      <c r="C3" s="5" t="s">
        <v>76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</row>
    <row r="4" spans="1:15" ht="42" customHeight="1">
      <c r="A4" s="6"/>
      <c r="B4" s="87" t="s">
        <v>18</v>
      </c>
      <c r="C4" s="88" t="s">
        <v>77</v>
      </c>
      <c r="D4" s="89" t="s">
        <v>78</v>
      </c>
      <c r="E4" s="89" t="s">
        <v>79</v>
      </c>
      <c r="F4" s="89" t="s">
        <v>80</v>
      </c>
      <c r="G4" s="90" t="s">
        <v>81</v>
      </c>
      <c r="H4" s="90" t="s">
        <v>81</v>
      </c>
      <c r="I4" s="91" t="s">
        <v>82</v>
      </c>
      <c r="J4" s="92" t="s">
        <v>83</v>
      </c>
      <c r="K4" s="92" t="s">
        <v>83</v>
      </c>
      <c r="L4" s="91" t="s">
        <v>82</v>
      </c>
      <c r="M4" s="92" t="s">
        <v>83</v>
      </c>
      <c r="N4" s="92" t="s">
        <v>83</v>
      </c>
      <c r="O4" s="93" t="s">
        <v>84</v>
      </c>
    </row>
    <row r="5" spans="1:15" ht="42" customHeight="1">
      <c r="A5" s="6"/>
      <c r="B5" s="87" t="s">
        <v>18</v>
      </c>
      <c r="C5" s="94" t="s">
        <v>85</v>
      </c>
      <c r="D5" s="92" t="s">
        <v>86</v>
      </c>
      <c r="E5" s="92" t="s">
        <v>86</v>
      </c>
      <c r="F5" s="95" t="s">
        <v>87</v>
      </c>
      <c r="G5" s="95" t="s">
        <v>87</v>
      </c>
      <c r="H5" s="95" t="s">
        <v>88</v>
      </c>
      <c r="I5" s="96" t="s">
        <v>89</v>
      </c>
      <c r="J5" s="92" t="s">
        <v>90</v>
      </c>
      <c r="K5" s="95" t="s">
        <v>88</v>
      </c>
      <c r="L5" s="92" t="s">
        <v>90</v>
      </c>
      <c r="M5" s="92" t="s">
        <v>90</v>
      </c>
      <c r="N5" s="92" t="s">
        <v>90</v>
      </c>
      <c r="O5" s="92" t="s">
        <v>86</v>
      </c>
    </row>
    <row r="6" spans="1:15" ht="42" customHeight="1">
      <c r="A6" s="6"/>
      <c r="B6" s="87" t="s">
        <v>18</v>
      </c>
      <c r="C6" s="88" t="s">
        <v>91</v>
      </c>
      <c r="D6" s="93" t="s">
        <v>84</v>
      </c>
      <c r="E6" s="93" t="s">
        <v>84</v>
      </c>
      <c r="F6" s="89" t="s">
        <v>92</v>
      </c>
      <c r="G6" s="89" t="s">
        <v>92</v>
      </c>
      <c r="H6" s="92" t="s">
        <v>83</v>
      </c>
      <c r="I6" s="92" t="s">
        <v>83</v>
      </c>
      <c r="J6" s="93" t="s">
        <v>84</v>
      </c>
      <c r="K6" s="92" t="s">
        <v>83</v>
      </c>
      <c r="L6" s="93" t="s">
        <v>84</v>
      </c>
      <c r="M6" s="93" t="s">
        <v>84</v>
      </c>
      <c r="N6" s="93" t="s">
        <v>84</v>
      </c>
      <c r="O6" s="93" t="s">
        <v>84</v>
      </c>
    </row>
    <row r="7" spans="1:15" ht="42" customHeight="1">
      <c r="A7" s="10"/>
      <c r="B7" s="97" t="s">
        <v>93</v>
      </c>
      <c r="C7" s="98" t="s">
        <v>94</v>
      </c>
      <c r="D7" s="95" t="s">
        <v>95</v>
      </c>
      <c r="E7" s="95" t="s">
        <v>96</v>
      </c>
      <c r="F7" s="95" t="s">
        <v>97</v>
      </c>
      <c r="G7" s="95" t="s">
        <v>97</v>
      </c>
      <c r="H7" s="95" t="s">
        <v>97</v>
      </c>
      <c r="I7" s="95" t="s">
        <v>97</v>
      </c>
      <c r="J7" s="95" t="s">
        <v>97</v>
      </c>
      <c r="K7" s="95" t="s">
        <v>97</v>
      </c>
      <c r="L7" s="95" t="s">
        <v>97</v>
      </c>
      <c r="M7" s="95" t="s">
        <v>97</v>
      </c>
      <c r="N7" s="95" t="s">
        <v>97</v>
      </c>
      <c r="O7" s="95" t="s">
        <v>96</v>
      </c>
    </row>
    <row r="8" spans="1:15" ht="42" customHeight="1">
      <c r="A8" s="10"/>
      <c r="B8" s="97" t="s">
        <v>93</v>
      </c>
      <c r="C8" s="98" t="s">
        <v>98</v>
      </c>
      <c r="D8" s="92" t="s">
        <v>99</v>
      </c>
      <c r="E8" s="92" t="s">
        <v>99</v>
      </c>
      <c r="F8" s="92" t="s">
        <v>100</v>
      </c>
      <c r="G8" s="92" t="s">
        <v>100</v>
      </c>
      <c r="H8" s="92" t="s">
        <v>100</v>
      </c>
      <c r="I8" s="92" t="s">
        <v>100</v>
      </c>
      <c r="J8" s="92" t="s">
        <v>100</v>
      </c>
      <c r="K8" s="92" t="s">
        <v>100</v>
      </c>
      <c r="L8" s="92" t="s">
        <v>100</v>
      </c>
      <c r="M8" s="92" t="s">
        <v>100</v>
      </c>
      <c r="N8" s="92" t="s">
        <v>100</v>
      </c>
      <c r="O8" s="92" t="s">
        <v>99</v>
      </c>
    </row>
    <row r="9" spans="1:15" ht="42" customHeight="1">
      <c r="A9" s="10"/>
      <c r="B9" s="97" t="s">
        <v>93</v>
      </c>
      <c r="C9" s="98" t="s">
        <v>101</v>
      </c>
      <c r="D9" s="89" t="s">
        <v>102</v>
      </c>
      <c r="E9" s="89" t="s">
        <v>103</v>
      </c>
      <c r="F9" s="89" t="s">
        <v>104</v>
      </c>
      <c r="G9" s="92" t="s">
        <v>83</v>
      </c>
      <c r="H9" s="92" t="s">
        <v>83</v>
      </c>
      <c r="I9" s="92" t="s">
        <v>83</v>
      </c>
      <c r="J9" s="92" t="s">
        <v>83</v>
      </c>
      <c r="K9" s="92" t="s">
        <v>83</v>
      </c>
      <c r="L9" s="91" t="s">
        <v>105</v>
      </c>
      <c r="M9" s="92" t="s">
        <v>83</v>
      </c>
      <c r="N9" s="92" t="s">
        <v>83</v>
      </c>
      <c r="O9" s="93" t="s">
        <v>84</v>
      </c>
    </row>
    <row r="10" spans="1:15" ht="42" customHeight="1">
      <c r="A10" s="10"/>
      <c r="B10" s="97" t="s">
        <v>93</v>
      </c>
      <c r="C10" s="99" t="s">
        <v>106</v>
      </c>
      <c r="D10" s="93" t="s">
        <v>84</v>
      </c>
      <c r="E10" s="93" t="s">
        <v>84</v>
      </c>
      <c r="F10" s="89" t="s">
        <v>107</v>
      </c>
      <c r="G10" s="89" t="s">
        <v>108</v>
      </c>
      <c r="H10" s="92" t="s">
        <v>83</v>
      </c>
      <c r="I10" s="89" t="s">
        <v>109</v>
      </c>
      <c r="J10" s="92" t="s">
        <v>83</v>
      </c>
      <c r="K10" s="92" t="s">
        <v>83</v>
      </c>
      <c r="L10" s="91" t="s">
        <v>105</v>
      </c>
      <c r="M10" s="92" t="s">
        <v>83</v>
      </c>
      <c r="N10" s="92" t="s">
        <v>83</v>
      </c>
      <c r="O10" s="93" t="s">
        <v>84</v>
      </c>
    </row>
    <row r="11" spans="1:15" ht="42" customHeight="1">
      <c r="A11" s="10"/>
      <c r="B11" s="97" t="s">
        <v>93</v>
      </c>
      <c r="C11" s="99" t="s">
        <v>110</v>
      </c>
      <c r="D11" s="95" t="s">
        <v>111</v>
      </c>
      <c r="E11" s="92" t="s">
        <v>83</v>
      </c>
      <c r="F11" s="95" t="s">
        <v>112</v>
      </c>
      <c r="G11" s="92" t="s">
        <v>83</v>
      </c>
      <c r="H11" s="92" t="s">
        <v>83</v>
      </c>
      <c r="I11" s="96" t="s">
        <v>113</v>
      </c>
      <c r="J11" s="92" t="s">
        <v>83</v>
      </c>
      <c r="K11" s="96" t="s">
        <v>113</v>
      </c>
      <c r="L11" s="92" t="s">
        <v>83</v>
      </c>
      <c r="M11" s="92" t="s">
        <v>83</v>
      </c>
      <c r="N11" s="95" t="s">
        <v>114</v>
      </c>
      <c r="O11" s="93" t="s">
        <v>84</v>
      </c>
    </row>
    <row r="12" spans="1:15" ht="42" customHeight="1">
      <c r="A12" s="10"/>
      <c r="B12" s="97" t="s">
        <v>93</v>
      </c>
      <c r="C12" s="98" t="s">
        <v>115</v>
      </c>
      <c r="D12" s="89" t="s">
        <v>116</v>
      </c>
      <c r="E12" s="92" t="s">
        <v>83</v>
      </c>
      <c r="F12" s="89" t="s">
        <v>117</v>
      </c>
      <c r="G12" s="89" t="s">
        <v>118</v>
      </c>
      <c r="H12" s="92" t="s">
        <v>83</v>
      </c>
      <c r="I12" s="92" t="s">
        <v>83</v>
      </c>
      <c r="J12" s="91" t="s">
        <v>105</v>
      </c>
      <c r="K12" s="92" t="s">
        <v>83</v>
      </c>
      <c r="L12" s="92" t="s">
        <v>83</v>
      </c>
      <c r="M12" s="92" t="s">
        <v>83</v>
      </c>
      <c r="N12" s="91" t="s">
        <v>119</v>
      </c>
      <c r="O12" s="93" t="s">
        <v>84</v>
      </c>
    </row>
    <row r="13" spans="1:15" ht="42" customHeight="1">
      <c r="A13" s="22"/>
      <c r="B13" s="100" t="s">
        <v>23</v>
      </c>
      <c r="C13" s="101" t="s">
        <v>120</v>
      </c>
      <c r="D13" s="93" t="s">
        <v>84</v>
      </c>
      <c r="E13" s="89" t="s">
        <v>121</v>
      </c>
      <c r="F13" s="95" t="s">
        <v>122</v>
      </c>
      <c r="G13" s="89" t="s">
        <v>123</v>
      </c>
      <c r="H13" s="89" t="s">
        <v>124</v>
      </c>
      <c r="I13" s="89" t="s">
        <v>125</v>
      </c>
      <c r="J13" s="91" t="s">
        <v>126</v>
      </c>
      <c r="K13" s="93" t="s">
        <v>84</v>
      </c>
      <c r="L13" s="93" t="s">
        <v>84</v>
      </c>
      <c r="M13" s="93" t="s">
        <v>84</v>
      </c>
      <c r="N13" s="93" t="s">
        <v>84</v>
      </c>
      <c r="O13" s="93" t="s">
        <v>84</v>
      </c>
    </row>
    <row r="14" spans="1:15" ht="42" customHeight="1">
      <c r="A14" s="22"/>
      <c r="B14" s="100" t="s">
        <v>23</v>
      </c>
      <c r="C14" s="101" t="s">
        <v>127</v>
      </c>
      <c r="D14" s="93" t="s">
        <v>84</v>
      </c>
      <c r="E14" s="93" t="s">
        <v>84</v>
      </c>
      <c r="F14" s="93" t="s">
        <v>84</v>
      </c>
      <c r="G14" s="93" t="s">
        <v>84</v>
      </c>
      <c r="H14" s="89" t="s">
        <v>128</v>
      </c>
      <c r="I14" s="93" t="s">
        <v>84</v>
      </c>
      <c r="J14" s="89" t="s">
        <v>128</v>
      </c>
      <c r="K14" s="92" t="s">
        <v>83</v>
      </c>
      <c r="L14" s="93" t="s">
        <v>84</v>
      </c>
      <c r="M14" s="93" t="s">
        <v>84</v>
      </c>
      <c r="N14" s="93" t="s">
        <v>84</v>
      </c>
      <c r="O14" s="93" t="s">
        <v>84</v>
      </c>
    </row>
    <row r="15" spans="1:15" ht="42" customHeight="1">
      <c r="A15" s="18"/>
      <c r="B15" s="102" t="s">
        <v>22</v>
      </c>
      <c r="C15" s="103" t="s">
        <v>129</v>
      </c>
      <c r="D15" s="92" t="s">
        <v>83</v>
      </c>
      <c r="E15" s="89" t="s">
        <v>130</v>
      </c>
      <c r="F15" s="89" t="s">
        <v>131</v>
      </c>
      <c r="G15" s="90" t="s">
        <v>81</v>
      </c>
      <c r="H15" s="92" t="s">
        <v>83</v>
      </c>
      <c r="I15" s="91" t="s">
        <v>132</v>
      </c>
      <c r="J15" s="92" t="s">
        <v>83</v>
      </c>
      <c r="K15" s="92" t="s">
        <v>83</v>
      </c>
      <c r="L15" s="91" t="s">
        <v>105</v>
      </c>
      <c r="M15" s="92" t="s">
        <v>83</v>
      </c>
      <c r="N15" s="92" t="s">
        <v>83</v>
      </c>
      <c r="O15" s="93" t="s">
        <v>84</v>
      </c>
    </row>
    <row r="16" spans="1:15" ht="42" customHeight="1">
      <c r="A16" s="18"/>
      <c r="B16" s="102" t="s">
        <v>22</v>
      </c>
      <c r="C16" s="103" t="s">
        <v>133</v>
      </c>
      <c r="D16" s="93" t="s">
        <v>84</v>
      </c>
      <c r="E16" s="89" t="s">
        <v>134</v>
      </c>
      <c r="F16" s="95" t="s">
        <v>135</v>
      </c>
      <c r="G16" s="92" t="s">
        <v>83</v>
      </c>
      <c r="H16" s="91" t="s">
        <v>136</v>
      </c>
      <c r="I16" s="92" t="s">
        <v>83</v>
      </c>
      <c r="J16" s="92" t="s">
        <v>83</v>
      </c>
      <c r="K16" s="91" t="s">
        <v>137</v>
      </c>
      <c r="L16" s="92" t="s">
        <v>83</v>
      </c>
      <c r="M16" s="92" t="s">
        <v>83</v>
      </c>
      <c r="N16" s="92" t="s">
        <v>83</v>
      </c>
      <c r="O16" s="93" t="s">
        <v>84</v>
      </c>
    </row>
    <row r="17" spans="1:15" ht="42" customHeight="1">
      <c r="A17" s="26"/>
      <c r="B17" s="104" t="s">
        <v>24</v>
      </c>
      <c r="C17" s="105" t="s">
        <v>138</v>
      </c>
      <c r="D17" s="95" t="s">
        <v>139</v>
      </c>
      <c r="E17" s="95" t="s">
        <v>139</v>
      </c>
      <c r="F17" s="95" t="s">
        <v>140</v>
      </c>
      <c r="G17" s="95" t="s">
        <v>141</v>
      </c>
      <c r="H17" s="95" t="s">
        <v>141</v>
      </c>
      <c r="I17" s="95" t="s">
        <v>141</v>
      </c>
      <c r="J17" s="95" t="s">
        <v>141</v>
      </c>
      <c r="K17" s="95" t="s">
        <v>141</v>
      </c>
      <c r="L17" s="92" t="s">
        <v>142</v>
      </c>
      <c r="M17" s="92" t="s">
        <v>142</v>
      </c>
      <c r="N17" s="92" t="s">
        <v>142</v>
      </c>
      <c r="O17" s="92" t="s">
        <v>143</v>
      </c>
    </row>
    <row r="18" spans="1:15" ht="42" customHeight="1">
      <c r="A18" s="26"/>
      <c r="B18" s="104" t="s">
        <v>24</v>
      </c>
      <c r="C18" s="105" t="s">
        <v>144</v>
      </c>
      <c r="D18" s="93" t="s">
        <v>84</v>
      </c>
      <c r="E18" s="93" t="s">
        <v>84</v>
      </c>
      <c r="F18" s="91" t="s">
        <v>145</v>
      </c>
      <c r="G18" s="92" t="s">
        <v>83</v>
      </c>
      <c r="H18" s="89" t="s">
        <v>124</v>
      </c>
      <c r="I18" s="92" t="s">
        <v>83</v>
      </c>
      <c r="J18" s="92" t="s">
        <v>83</v>
      </c>
      <c r="K18" s="89" t="s">
        <v>124</v>
      </c>
      <c r="L18" s="92" t="s">
        <v>83</v>
      </c>
      <c r="M18" s="92" t="s">
        <v>83</v>
      </c>
      <c r="N18" s="91" t="s">
        <v>146</v>
      </c>
      <c r="O18" s="93" t="s">
        <v>84</v>
      </c>
    </row>
    <row r="19" spans="1:15" ht="42" customHeight="1">
      <c r="A19" s="26"/>
      <c r="B19" s="104" t="s">
        <v>24</v>
      </c>
      <c r="C19" s="105" t="s">
        <v>147</v>
      </c>
      <c r="D19" s="93" t="s">
        <v>84</v>
      </c>
      <c r="E19" s="95" t="s">
        <v>148</v>
      </c>
      <c r="F19" s="89" t="s">
        <v>149</v>
      </c>
      <c r="G19" s="92" t="s">
        <v>83</v>
      </c>
      <c r="H19" s="92" t="s">
        <v>83</v>
      </c>
      <c r="I19" s="92" t="s">
        <v>83</v>
      </c>
      <c r="J19" s="92" t="s">
        <v>83</v>
      </c>
      <c r="K19" s="92" t="s">
        <v>83</v>
      </c>
      <c r="L19" s="91" t="s">
        <v>150</v>
      </c>
      <c r="M19" s="92" t="s">
        <v>83</v>
      </c>
      <c r="N19" s="92" t="s">
        <v>83</v>
      </c>
      <c r="O19" s="93" t="s">
        <v>84</v>
      </c>
    </row>
    <row r="20" spans="1:15" ht="42" customHeight="1">
      <c r="A20" s="106"/>
      <c r="B20" s="107" t="s">
        <v>151</v>
      </c>
      <c r="C20" s="108" t="s">
        <v>152</v>
      </c>
      <c r="D20" s="89" t="s">
        <v>153</v>
      </c>
      <c r="E20" s="89" t="s">
        <v>154</v>
      </c>
      <c r="F20" s="92" t="s">
        <v>83</v>
      </c>
      <c r="G20" s="92" t="s">
        <v>83</v>
      </c>
      <c r="H20" s="92" t="s">
        <v>83</v>
      </c>
      <c r="I20" s="92" t="s">
        <v>83</v>
      </c>
      <c r="J20" s="92" t="s">
        <v>83</v>
      </c>
      <c r="K20" s="92" t="s">
        <v>83</v>
      </c>
      <c r="L20" s="91" t="s">
        <v>155</v>
      </c>
      <c r="M20" s="92" t="s">
        <v>83</v>
      </c>
      <c r="N20" s="92" t="s">
        <v>83</v>
      </c>
      <c r="O20" s="93" t="s">
        <v>84</v>
      </c>
    </row>
    <row r="21" spans="1:15" ht="42" customHeight="1">
      <c r="A21" s="106"/>
      <c r="B21" s="107" t="s">
        <v>151</v>
      </c>
      <c r="C21" s="109" t="s">
        <v>156</v>
      </c>
      <c r="D21" s="93" t="s">
        <v>84</v>
      </c>
      <c r="E21" s="89" t="s">
        <v>157</v>
      </c>
      <c r="F21" s="92" t="s">
        <v>83</v>
      </c>
      <c r="G21" s="89" t="s">
        <v>158</v>
      </c>
      <c r="H21" s="92" t="s">
        <v>83</v>
      </c>
      <c r="I21" s="92" t="s">
        <v>83</v>
      </c>
      <c r="J21" s="91" t="s">
        <v>159</v>
      </c>
      <c r="K21" s="92" t="s">
        <v>83</v>
      </c>
      <c r="L21" s="92" t="s">
        <v>83</v>
      </c>
      <c r="M21" s="92" t="s">
        <v>83</v>
      </c>
      <c r="N21" s="91" t="s">
        <v>159</v>
      </c>
      <c r="O21" s="93" t="s">
        <v>84</v>
      </c>
    </row>
    <row r="22" spans="1:15" ht="42" customHeight="1">
      <c r="A22" s="14"/>
      <c r="B22" s="110" t="s">
        <v>160</v>
      </c>
      <c r="C22" s="111" t="s">
        <v>161</v>
      </c>
      <c r="D22" s="89" t="s">
        <v>162</v>
      </c>
      <c r="E22" s="89" t="s">
        <v>163</v>
      </c>
      <c r="F22" s="90" t="s">
        <v>164</v>
      </c>
      <c r="G22" s="92" t="s">
        <v>83</v>
      </c>
      <c r="H22" s="92" t="s">
        <v>83</v>
      </c>
      <c r="I22" s="92" t="s">
        <v>83</v>
      </c>
      <c r="J22" s="92" t="s">
        <v>83</v>
      </c>
      <c r="K22" s="92" t="s">
        <v>83</v>
      </c>
      <c r="L22" s="91" t="s">
        <v>165</v>
      </c>
      <c r="M22" s="92" t="s">
        <v>83</v>
      </c>
      <c r="N22" s="92" t="s">
        <v>83</v>
      </c>
      <c r="O22" s="93" t="s">
        <v>84</v>
      </c>
    </row>
    <row r="23" spans="1:15" ht="42" customHeight="1">
      <c r="A23" s="14"/>
      <c r="B23" s="110" t="s">
        <v>160</v>
      </c>
      <c r="C23" s="112" t="s">
        <v>166</v>
      </c>
      <c r="D23" s="90" t="s">
        <v>167</v>
      </c>
      <c r="E23" s="92" t="s">
        <v>83</v>
      </c>
      <c r="F23" s="92" t="s">
        <v>83</v>
      </c>
      <c r="G23" s="95" t="s">
        <v>168</v>
      </c>
      <c r="H23" s="92" t="s">
        <v>83</v>
      </c>
      <c r="I23" s="92" t="s">
        <v>83</v>
      </c>
      <c r="J23" s="95" t="s">
        <v>169</v>
      </c>
      <c r="K23" s="92" t="s">
        <v>83</v>
      </c>
      <c r="L23" s="92" t="s">
        <v>83</v>
      </c>
      <c r="M23" s="95" t="s">
        <v>170</v>
      </c>
      <c r="N23" s="92" t="s">
        <v>83</v>
      </c>
      <c r="O23" s="89" t="s">
        <v>171</v>
      </c>
    </row>
    <row r="25" spans="1:15" ht="15" customHeight="1">
      <c r="B25" s="631" t="s">
        <v>172</v>
      </c>
      <c r="C25" s="631"/>
      <c r="D25" s="631"/>
    </row>
    <row r="26" spans="1:15" ht="15" customHeight="1">
      <c r="B26" s="632" t="s">
        <v>173</v>
      </c>
      <c r="C26" s="632"/>
      <c r="D26" s="632"/>
    </row>
    <row r="27" spans="1:15" ht="15" customHeight="1">
      <c r="B27" s="633" t="s">
        <v>174</v>
      </c>
      <c r="C27" s="633"/>
      <c r="D27" s="633"/>
    </row>
    <row r="28" spans="1:15" ht="15" customHeight="1">
      <c r="B28" s="629" t="s">
        <v>175</v>
      </c>
      <c r="C28" s="629"/>
      <c r="D28" s="629"/>
    </row>
  </sheetData>
  <mergeCells count="6">
    <mergeCell ref="B28:D28"/>
    <mergeCell ref="A1:O1"/>
    <mergeCell ref="A2:O2"/>
    <mergeCell ref="B25:D25"/>
    <mergeCell ref="B26:D26"/>
    <mergeCell ref="B27:D27"/>
  </mergeCells>
  <phoneticPr fontId="202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2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ColWidth="8.6640625" defaultRowHeight="14.25"/>
  <cols>
    <col min="1" max="1" width="2" customWidth="1"/>
    <col min="2" max="2" width="12" customWidth="1"/>
    <col min="3" max="5" width="16" customWidth="1"/>
    <col min="6" max="8" width="14" customWidth="1"/>
  </cols>
  <sheetData>
    <row r="1" spans="1:8" ht="21.75" customHeight="1">
      <c r="A1" s="634" t="s">
        <v>176</v>
      </c>
      <c r="B1" s="634"/>
      <c r="C1" s="634"/>
      <c r="D1" s="634"/>
      <c r="E1" s="634"/>
      <c r="F1" s="634"/>
      <c r="G1" s="634"/>
      <c r="H1" s="634"/>
    </row>
    <row r="2" spans="1:8" ht="27.75" customHeight="1">
      <c r="A2" s="635" t="s">
        <v>177</v>
      </c>
      <c r="B2" s="635"/>
      <c r="C2" s="635"/>
      <c r="D2" s="635"/>
      <c r="E2" s="635"/>
      <c r="F2" s="635"/>
      <c r="G2" s="635"/>
      <c r="H2" s="635"/>
    </row>
    <row r="3" spans="1:8" ht="6" customHeight="1"/>
    <row r="4" spans="1:8" ht="30" customHeight="1">
      <c r="B4" s="113" t="s">
        <v>178</v>
      </c>
      <c r="C4" s="113" t="s">
        <v>179</v>
      </c>
      <c r="D4" s="113" t="s">
        <v>180</v>
      </c>
      <c r="E4" s="113" t="s">
        <v>181</v>
      </c>
      <c r="F4" s="113" t="s">
        <v>182</v>
      </c>
      <c r="G4" s="113" t="s">
        <v>183</v>
      </c>
    </row>
    <row r="5" spans="1:8" ht="21.75" customHeight="1">
      <c r="B5" s="114" t="s">
        <v>184</v>
      </c>
      <c r="C5" s="115" t="s">
        <v>72</v>
      </c>
      <c r="D5" s="116">
        <v>126000</v>
      </c>
      <c r="E5" s="115" t="s">
        <v>72</v>
      </c>
      <c r="F5" s="117">
        <v>126000</v>
      </c>
      <c r="G5" s="118" t="s">
        <v>72</v>
      </c>
    </row>
    <row r="6" spans="1:8" ht="21.75" customHeight="1">
      <c r="B6" s="119" t="s">
        <v>185</v>
      </c>
      <c r="C6" s="120" t="s">
        <v>72</v>
      </c>
      <c r="D6" s="121">
        <v>23760</v>
      </c>
      <c r="E6" s="120" t="s">
        <v>72</v>
      </c>
      <c r="F6" s="122">
        <v>23760</v>
      </c>
      <c r="G6" s="123" t="s">
        <v>186</v>
      </c>
    </row>
    <row r="7" spans="1:8" ht="21.75" customHeight="1">
      <c r="B7" s="114" t="s">
        <v>187</v>
      </c>
      <c r="C7" s="115" t="s">
        <v>72</v>
      </c>
      <c r="D7" s="116">
        <v>31320</v>
      </c>
      <c r="E7" s="124">
        <v>8640</v>
      </c>
      <c r="F7" s="125">
        <v>39960</v>
      </c>
      <c r="G7" s="126" t="s">
        <v>188</v>
      </c>
    </row>
    <row r="8" spans="1:8" ht="21.75" customHeight="1">
      <c r="B8" s="119" t="s">
        <v>189</v>
      </c>
      <c r="C8" s="120" t="s">
        <v>72</v>
      </c>
      <c r="D8" s="121">
        <v>81126</v>
      </c>
      <c r="E8" s="120" t="s">
        <v>72</v>
      </c>
      <c r="F8" s="122">
        <v>81126</v>
      </c>
      <c r="G8" s="127" t="s">
        <v>190</v>
      </c>
    </row>
    <row r="9" spans="1:8" ht="21.75" customHeight="1">
      <c r="B9" s="114" t="s">
        <v>191</v>
      </c>
      <c r="C9" s="115" t="s">
        <v>72</v>
      </c>
      <c r="D9" s="116">
        <v>107654</v>
      </c>
      <c r="E9" s="124">
        <v>27648</v>
      </c>
      <c r="F9" s="117">
        <v>135302</v>
      </c>
      <c r="G9" s="126" t="s">
        <v>192</v>
      </c>
    </row>
    <row r="10" spans="1:8" ht="21.75" customHeight="1">
      <c r="B10" s="119" t="s">
        <v>193</v>
      </c>
      <c r="C10" s="128">
        <v>252288</v>
      </c>
      <c r="D10" s="121">
        <v>200200</v>
      </c>
      <c r="E10" s="128">
        <v>10800</v>
      </c>
      <c r="F10" s="129">
        <v>463288</v>
      </c>
      <c r="G10" s="127" t="s">
        <v>194</v>
      </c>
    </row>
    <row r="11" spans="1:8" ht="21.75" customHeight="1">
      <c r="B11" s="114" t="s">
        <v>195</v>
      </c>
      <c r="C11" s="124">
        <v>101952</v>
      </c>
      <c r="D11" s="116">
        <v>279600</v>
      </c>
      <c r="E11" s="124">
        <v>55200</v>
      </c>
      <c r="F11" s="130">
        <v>436752</v>
      </c>
      <c r="G11" s="131" t="s">
        <v>196</v>
      </c>
    </row>
    <row r="12" spans="1:8" ht="21.75" customHeight="1">
      <c r="B12" s="119" t="s">
        <v>197</v>
      </c>
      <c r="C12" s="128">
        <v>76032</v>
      </c>
      <c r="D12" s="121">
        <v>304691</v>
      </c>
      <c r="E12" s="128">
        <v>131112</v>
      </c>
      <c r="F12" s="129">
        <v>511835</v>
      </c>
      <c r="G12" s="127" t="s">
        <v>198</v>
      </c>
    </row>
    <row r="13" spans="1:8" ht="21.75" customHeight="1">
      <c r="B13" s="114" t="s">
        <v>199</v>
      </c>
      <c r="C13" s="124">
        <v>92160</v>
      </c>
      <c r="D13" s="116">
        <v>229102</v>
      </c>
      <c r="E13" s="124">
        <v>117216</v>
      </c>
      <c r="F13" s="130">
        <v>438478</v>
      </c>
      <c r="G13" s="131" t="s">
        <v>200</v>
      </c>
    </row>
    <row r="14" spans="1:8" ht="21.75" customHeight="1">
      <c r="B14" s="119" t="s">
        <v>201</v>
      </c>
      <c r="C14" s="128">
        <v>48813</v>
      </c>
      <c r="D14" s="121">
        <v>194301</v>
      </c>
      <c r="E14" s="128">
        <v>50355</v>
      </c>
      <c r="F14" s="132">
        <v>293469</v>
      </c>
      <c r="G14" s="123" t="s">
        <v>202</v>
      </c>
    </row>
    <row r="15" spans="1:8" ht="6" customHeight="1">
      <c r="B15" s="114" t="s">
        <v>203</v>
      </c>
      <c r="C15" s="124">
        <v>79200</v>
      </c>
      <c r="D15" s="116">
        <v>205566</v>
      </c>
      <c r="E15" s="124">
        <v>49104</v>
      </c>
      <c r="F15" s="133">
        <v>288248</v>
      </c>
      <c r="G15" s="126" t="s">
        <v>204</v>
      </c>
    </row>
    <row r="16" spans="1:8" ht="21.75" customHeight="1">
      <c r="B16" s="119" t="s">
        <v>205</v>
      </c>
      <c r="C16" s="128">
        <v>127800</v>
      </c>
      <c r="D16" s="121">
        <v>475252</v>
      </c>
      <c r="E16" s="128">
        <v>142560</v>
      </c>
      <c r="F16" s="134">
        <v>751255</v>
      </c>
      <c r="G16" s="127" t="s">
        <v>206</v>
      </c>
    </row>
    <row r="17" spans="1:8" ht="9.75" customHeight="1">
      <c r="B17" s="135" t="s">
        <v>207</v>
      </c>
      <c r="C17" s="124">
        <v>120000</v>
      </c>
      <c r="D17" s="116">
        <v>300000</v>
      </c>
      <c r="E17" s="136">
        <v>1700000</v>
      </c>
      <c r="F17" s="137">
        <v>598472</v>
      </c>
      <c r="G17" s="138" t="s">
        <v>208</v>
      </c>
    </row>
    <row r="18" spans="1:8" ht="21.75" customHeight="1">
      <c r="B18" s="119" t="s">
        <v>209</v>
      </c>
      <c r="C18" s="128">
        <v>50880</v>
      </c>
      <c r="D18" s="121">
        <v>290909</v>
      </c>
      <c r="E18" s="128">
        <v>190380</v>
      </c>
      <c r="F18" s="129">
        <v>532169</v>
      </c>
      <c r="G18" s="139" t="s">
        <v>210</v>
      </c>
      <c r="H18" s="140" t="s">
        <v>211</v>
      </c>
    </row>
    <row r="19" spans="1:8" ht="25.5" customHeight="1"/>
    <row r="20" spans="1:8" ht="21.75" customHeight="1">
      <c r="B20" s="141" t="s">
        <v>212</v>
      </c>
      <c r="C20" s="142">
        <f>SUM(C5:C18)</f>
        <v>949125</v>
      </c>
      <c r="D20" s="142">
        <f>SUM(D5:D18)</f>
        <v>2849481</v>
      </c>
      <c r="E20" s="142">
        <f>SUM(E5:E18)</f>
        <v>2483015</v>
      </c>
      <c r="F20" s="142">
        <f>SUM(F5:F18)</f>
        <v>4720114</v>
      </c>
    </row>
    <row r="21" spans="1:8" ht="21.75" customHeight="1"/>
    <row r="22" spans="1:8" ht="21.75" customHeight="1">
      <c r="A22" s="636" t="s">
        <v>213</v>
      </c>
      <c r="B22" s="636"/>
      <c r="C22" s="636"/>
      <c r="D22" s="636"/>
      <c r="E22" s="636"/>
      <c r="F22" s="636"/>
      <c r="G22" s="636"/>
      <c r="H22" s="636"/>
    </row>
    <row r="23" spans="1:8" ht="15.75" customHeight="1">
      <c r="B23" s="143" t="s">
        <v>214</v>
      </c>
      <c r="C23" s="144" t="s">
        <v>18</v>
      </c>
      <c r="D23" s="145" t="s">
        <v>19</v>
      </c>
      <c r="E23" s="146">
        <v>248</v>
      </c>
      <c r="F23" s="146">
        <v>120</v>
      </c>
      <c r="G23" s="147">
        <f>IFERROR(F23/E23,"")</f>
        <v>0.4838709677419355</v>
      </c>
    </row>
    <row r="24" spans="1:8" ht="15.75" customHeight="1">
      <c r="B24" s="148" t="s">
        <v>215</v>
      </c>
      <c r="C24" s="149" t="s">
        <v>20</v>
      </c>
      <c r="D24" s="145" t="s">
        <v>19</v>
      </c>
      <c r="E24" s="146">
        <v>385</v>
      </c>
      <c r="F24" s="150" t="s">
        <v>72</v>
      </c>
      <c r="G24" s="151" t="s">
        <v>72</v>
      </c>
    </row>
    <row r="25" spans="1:8" ht="15.75" customHeight="1">
      <c r="B25" s="152" t="s">
        <v>216</v>
      </c>
      <c r="C25" s="153" t="s">
        <v>21</v>
      </c>
      <c r="D25" s="145" t="s">
        <v>19</v>
      </c>
      <c r="E25" s="146">
        <v>300</v>
      </c>
      <c r="F25" s="150" t="s">
        <v>72</v>
      </c>
      <c r="G25" s="151" t="s">
        <v>72</v>
      </c>
    </row>
    <row r="26" spans="1:8" ht="15.75" customHeight="1">
      <c r="B26" s="154" t="s">
        <v>217</v>
      </c>
      <c r="C26" s="155" t="s">
        <v>22</v>
      </c>
      <c r="D26" s="145" t="s">
        <v>19</v>
      </c>
      <c r="E26" s="146">
        <v>320</v>
      </c>
      <c r="F26" s="150" t="s">
        <v>72</v>
      </c>
      <c r="G26" s="151" t="s">
        <v>72</v>
      </c>
    </row>
    <row r="27" spans="1:8" ht="15.75" customHeight="1">
      <c r="B27" s="156" t="s">
        <v>218</v>
      </c>
      <c r="C27" s="157" t="s">
        <v>23</v>
      </c>
      <c r="D27" s="145" t="s">
        <v>19</v>
      </c>
      <c r="E27" s="158" t="s">
        <v>72</v>
      </c>
      <c r="F27" s="146">
        <v>0</v>
      </c>
    </row>
    <row r="28" spans="1:8" ht="15.75" customHeight="1">
      <c r="A28" s="637"/>
      <c r="B28" s="637"/>
      <c r="C28" s="637"/>
      <c r="D28" s="637"/>
      <c r="E28" s="637"/>
      <c r="F28" s="637"/>
      <c r="G28" s="637"/>
      <c r="H28" s="637"/>
    </row>
    <row r="29" spans="1:8" ht="15.75" customHeight="1">
      <c r="A29" s="638" t="s">
        <v>219</v>
      </c>
      <c r="B29" s="638"/>
      <c r="C29" s="638"/>
      <c r="D29" s="638"/>
      <c r="E29" s="638"/>
      <c r="F29" s="638"/>
      <c r="G29" s="638"/>
      <c r="H29" s="638"/>
    </row>
    <row r="30" spans="1:8" ht="15.75" customHeight="1">
      <c r="B30" s="143" t="s">
        <v>220</v>
      </c>
      <c r="C30" s="159" t="s">
        <v>221</v>
      </c>
      <c r="D30" s="145" t="s">
        <v>27</v>
      </c>
      <c r="E30" s="146">
        <v>191432</v>
      </c>
      <c r="F30" s="146">
        <v>48813</v>
      </c>
      <c r="G30" s="160">
        <f>IFERROR(F30/E30,"")</f>
        <v>0.25498871662000083</v>
      </c>
    </row>
    <row r="31" spans="1:8" ht="15.75" customHeight="1">
      <c r="B31" s="148" t="s">
        <v>222</v>
      </c>
      <c r="C31" s="159" t="s">
        <v>221</v>
      </c>
      <c r="D31" s="145" t="s">
        <v>27</v>
      </c>
      <c r="E31" s="146">
        <v>426975</v>
      </c>
      <c r="F31" s="146">
        <v>136011</v>
      </c>
      <c r="G31" s="160">
        <f>IFERROR(F31/E31,"")</f>
        <v>0.31854558229404534</v>
      </c>
    </row>
    <row r="32" spans="1:8" ht="15.75" customHeight="1">
      <c r="B32" s="152" t="s">
        <v>223</v>
      </c>
      <c r="C32" s="159" t="s">
        <v>221</v>
      </c>
      <c r="D32" s="145" t="s">
        <v>27</v>
      </c>
      <c r="E32" s="146">
        <v>324218</v>
      </c>
      <c r="F32" s="146">
        <v>58290</v>
      </c>
      <c r="G32" s="160">
        <f>IFERROR(F32/E32,"")</f>
        <v>0.17978643998790936</v>
      </c>
    </row>
    <row r="33" spans="1:8" ht="15.75" customHeight="1">
      <c r="B33" s="154" t="s">
        <v>224</v>
      </c>
      <c r="C33" s="159" t="s">
        <v>221</v>
      </c>
      <c r="D33" s="145" t="s">
        <v>27</v>
      </c>
      <c r="E33" s="146">
        <v>281280</v>
      </c>
      <c r="F33" s="146">
        <v>35213</v>
      </c>
      <c r="G33" s="160">
        <f>IFERROR(F33/E33,"")</f>
        <v>0.12518842434584757</v>
      </c>
    </row>
    <row r="34" spans="1:8" ht="15.75" customHeight="1">
      <c r="B34" s="156" t="s">
        <v>225</v>
      </c>
      <c r="C34" s="159" t="s">
        <v>221</v>
      </c>
      <c r="D34" s="145" t="s">
        <v>27</v>
      </c>
      <c r="E34" s="158" t="s">
        <v>72</v>
      </c>
      <c r="F34" s="158" t="s">
        <v>72</v>
      </c>
    </row>
    <row r="35" spans="1:8" ht="15.75" customHeight="1">
      <c r="B35" s="161" t="s">
        <v>226</v>
      </c>
      <c r="C35" s="159" t="s">
        <v>221</v>
      </c>
      <c r="D35" s="145" t="s">
        <v>27</v>
      </c>
      <c r="E35" s="146">
        <v>119220</v>
      </c>
      <c r="F35" s="146">
        <v>15093</v>
      </c>
      <c r="G35" s="160">
        <f>IFERROR(F35/E35,"")</f>
        <v>0.12659788626069451</v>
      </c>
    </row>
    <row r="36" spans="1:8" ht="18" customHeight="1">
      <c r="B36" s="162" t="s">
        <v>227</v>
      </c>
      <c r="C36" s="163" t="s">
        <v>221</v>
      </c>
      <c r="D36" s="164" t="s">
        <v>27</v>
      </c>
      <c r="E36" s="165">
        <v>1343125</v>
      </c>
      <c r="F36" s="165">
        <v>293420</v>
      </c>
      <c r="G36" s="166">
        <f>IFERROR(F36/E36,"")</f>
        <v>0.21846067938576083</v>
      </c>
    </row>
    <row r="37" spans="1:8" ht="7.5" customHeight="1"/>
    <row r="38" spans="1:8" ht="21.75" customHeight="1">
      <c r="A38" s="636" t="s">
        <v>228</v>
      </c>
      <c r="B38" s="636"/>
      <c r="C38" s="636"/>
      <c r="D38" s="636"/>
      <c r="E38" s="636"/>
      <c r="F38" s="636"/>
      <c r="G38" s="636"/>
      <c r="H38" s="636"/>
    </row>
    <row r="39" spans="1:8" ht="15.75" customHeight="1">
      <c r="A39" s="637"/>
      <c r="B39" s="637"/>
      <c r="C39" s="637"/>
      <c r="D39" s="637"/>
      <c r="E39" s="637"/>
      <c r="F39" s="637"/>
      <c r="G39" s="637"/>
      <c r="H39" s="637"/>
    </row>
    <row r="40" spans="1:8" ht="15.75" customHeight="1">
      <c r="B40" s="167" t="s">
        <v>215</v>
      </c>
      <c r="C40" s="168" t="s">
        <v>20</v>
      </c>
      <c r="D40" s="169" t="s">
        <v>19</v>
      </c>
      <c r="E40" s="170">
        <v>385</v>
      </c>
      <c r="F40" s="171" t="s">
        <v>72</v>
      </c>
      <c r="G40" s="172" t="s">
        <v>72</v>
      </c>
    </row>
    <row r="41" spans="1:8" ht="15.75" customHeight="1">
      <c r="B41" s="173" t="s">
        <v>216</v>
      </c>
      <c r="C41" s="174" t="s">
        <v>21</v>
      </c>
      <c r="D41" s="169" t="s">
        <v>19</v>
      </c>
      <c r="E41" s="170">
        <v>300</v>
      </c>
      <c r="F41" s="171" t="s">
        <v>72</v>
      </c>
      <c r="G41" s="172" t="s">
        <v>72</v>
      </c>
    </row>
    <row r="42" spans="1:8" ht="15.75" customHeight="1">
      <c r="B42" s="175" t="s">
        <v>217</v>
      </c>
      <c r="C42" s="176" t="s">
        <v>22</v>
      </c>
      <c r="D42" s="169" t="s">
        <v>19</v>
      </c>
      <c r="E42" s="170">
        <v>320</v>
      </c>
      <c r="F42" s="171" t="s">
        <v>72</v>
      </c>
      <c r="G42" s="172" t="s">
        <v>72</v>
      </c>
    </row>
    <row r="43" spans="1:8" ht="15.75" customHeight="1">
      <c r="B43" s="177" t="s">
        <v>218</v>
      </c>
      <c r="C43" s="178" t="s">
        <v>23</v>
      </c>
      <c r="D43" s="169" t="s">
        <v>19</v>
      </c>
      <c r="E43" s="179" t="s">
        <v>72</v>
      </c>
      <c r="F43" s="170">
        <v>0</v>
      </c>
    </row>
    <row r="44" spans="1:8" ht="15.75" customHeight="1">
      <c r="B44" s="180" t="s">
        <v>229</v>
      </c>
      <c r="C44" s="181" t="s">
        <v>24</v>
      </c>
      <c r="D44" s="169" t="s">
        <v>19</v>
      </c>
      <c r="E44" s="170">
        <v>163</v>
      </c>
      <c r="F44" s="171" t="s">
        <v>72</v>
      </c>
      <c r="G44" s="172" t="s">
        <v>72</v>
      </c>
    </row>
    <row r="45" spans="1:8" ht="15.75" customHeight="1">
      <c r="A45" s="638" t="s">
        <v>219</v>
      </c>
      <c r="B45" s="638"/>
      <c r="C45" s="638"/>
      <c r="D45" s="638"/>
      <c r="E45" s="638"/>
      <c r="F45" s="638"/>
      <c r="G45" s="638"/>
      <c r="H45" s="638"/>
    </row>
    <row r="46" spans="1:8" ht="15.75" customHeight="1">
      <c r="B46" s="182" t="s">
        <v>220</v>
      </c>
      <c r="C46" s="183" t="s">
        <v>221</v>
      </c>
      <c r="D46" s="169" t="s">
        <v>27</v>
      </c>
      <c r="E46" s="170">
        <v>191432</v>
      </c>
      <c r="F46" s="170">
        <v>79200</v>
      </c>
      <c r="G46" s="160">
        <f>IFERROR(F46/E46,"")</f>
        <v>0.41372393330268714</v>
      </c>
    </row>
    <row r="47" spans="1:8" ht="15.75" customHeight="1">
      <c r="B47" s="167" t="s">
        <v>222</v>
      </c>
      <c r="C47" s="183" t="s">
        <v>221</v>
      </c>
      <c r="D47" s="169" t="s">
        <v>27</v>
      </c>
      <c r="E47" s="170">
        <v>426975</v>
      </c>
      <c r="F47" s="170">
        <v>143896</v>
      </c>
      <c r="G47" s="160">
        <f>IFERROR(F47/E47,"")</f>
        <v>0.33701270566192398</v>
      </c>
    </row>
    <row r="48" spans="1:8" ht="15.75" customHeight="1">
      <c r="B48" s="173" t="s">
        <v>223</v>
      </c>
      <c r="C48" s="183" t="s">
        <v>221</v>
      </c>
      <c r="D48" s="169" t="s">
        <v>27</v>
      </c>
      <c r="E48" s="170">
        <v>324218</v>
      </c>
      <c r="F48" s="170">
        <v>61670</v>
      </c>
      <c r="G48" s="160">
        <f>IFERROR(F48/E48,"")</f>
        <v>0.19021152434473101</v>
      </c>
    </row>
    <row r="49" spans="1:8" ht="15.75" customHeight="1">
      <c r="A49" s="637"/>
      <c r="B49" s="637"/>
      <c r="C49" s="637"/>
      <c r="D49" s="637"/>
      <c r="E49" s="637"/>
      <c r="F49" s="637"/>
      <c r="G49" s="637"/>
      <c r="H49" s="637"/>
    </row>
    <row r="50" spans="1:8" ht="15.75" customHeight="1">
      <c r="A50" s="637"/>
      <c r="B50" s="637"/>
      <c r="C50" s="637"/>
      <c r="D50" s="637"/>
      <c r="E50" s="637"/>
      <c r="F50" s="637"/>
      <c r="G50" s="637"/>
      <c r="H50" s="637"/>
    </row>
    <row r="51" spans="1:8" ht="15.75" customHeight="1">
      <c r="A51" s="637"/>
      <c r="B51" s="637"/>
      <c r="C51" s="637"/>
      <c r="D51" s="637"/>
      <c r="E51" s="637"/>
      <c r="F51" s="637"/>
      <c r="G51" s="637"/>
      <c r="H51" s="637"/>
    </row>
    <row r="52" spans="1:8" ht="18" customHeight="1">
      <c r="A52" s="637"/>
      <c r="B52" s="637"/>
      <c r="C52" s="637"/>
      <c r="D52" s="637"/>
      <c r="E52" s="637"/>
      <c r="F52" s="637"/>
      <c r="G52" s="637"/>
      <c r="H52" s="637"/>
    </row>
    <row r="53" spans="1:8" ht="7.5" customHeight="1"/>
    <row r="54" spans="1:8" ht="21.75" customHeight="1">
      <c r="A54" s="636" t="s">
        <v>230</v>
      </c>
      <c r="B54" s="636"/>
      <c r="C54" s="636"/>
      <c r="D54" s="636"/>
      <c r="E54" s="636"/>
      <c r="F54" s="636"/>
      <c r="G54" s="636"/>
      <c r="H54" s="636"/>
    </row>
    <row r="55" spans="1:8" ht="15.75" customHeight="1">
      <c r="B55" s="143" t="s">
        <v>214</v>
      </c>
      <c r="C55" s="144" t="s">
        <v>18</v>
      </c>
      <c r="D55" s="145" t="s">
        <v>19</v>
      </c>
      <c r="E55" s="146">
        <v>248</v>
      </c>
      <c r="F55" s="146">
        <v>108</v>
      </c>
      <c r="G55" s="147">
        <f>IFERROR(F55/E55,"")</f>
        <v>0.43548387096774194</v>
      </c>
    </row>
    <row r="56" spans="1:8" ht="15.75" customHeight="1">
      <c r="B56" s="148" t="s">
        <v>215</v>
      </c>
      <c r="C56" s="149" t="s">
        <v>20</v>
      </c>
      <c r="D56" s="145" t="s">
        <v>19</v>
      </c>
      <c r="E56" s="146">
        <v>385</v>
      </c>
      <c r="F56" s="150" t="s">
        <v>72</v>
      </c>
      <c r="G56" s="151" t="s">
        <v>72</v>
      </c>
    </row>
    <row r="57" spans="1:8" ht="15.75" customHeight="1">
      <c r="B57" s="152" t="s">
        <v>216</v>
      </c>
      <c r="C57" s="153" t="s">
        <v>21</v>
      </c>
      <c r="D57" s="145" t="s">
        <v>19</v>
      </c>
      <c r="E57" s="146">
        <v>300</v>
      </c>
      <c r="F57" s="150" t="s">
        <v>72</v>
      </c>
      <c r="G57" s="151" t="s">
        <v>72</v>
      </c>
    </row>
    <row r="58" spans="1:8" ht="15.75" customHeight="1">
      <c r="A58" s="637"/>
      <c r="B58" s="637"/>
      <c r="C58" s="637"/>
      <c r="D58" s="637"/>
      <c r="E58" s="637"/>
      <c r="F58" s="637"/>
      <c r="G58" s="637"/>
      <c r="H58" s="637"/>
    </row>
    <row r="59" spans="1:8" ht="15.75" customHeight="1">
      <c r="B59" s="156" t="s">
        <v>218</v>
      </c>
      <c r="C59" s="157" t="s">
        <v>23</v>
      </c>
      <c r="D59" s="145" t="s">
        <v>19</v>
      </c>
      <c r="E59" s="158" t="s">
        <v>72</v>
      </c>
      <c r="F59" s="146">
        <v>0</v>
      </c>
    </row>
    <row r="60" spans="1:8" ht="15.75" customHeight="1">
      <c r="B60" s="161" t="s">
        <v>229</v>
      </c>
      <c r="C60" s="184" t="s">
        <v>24</v>
      </c>
      <c r="D60" s="145" t="s">
        <v>19</v>
      </c>
      <c r="E60" s="146">
        <v>163</v>
      </c>
      <c r="F60" s="150" t="s">
        <v>72</v>
      </c>
      <c r="G60" s="151" t="s">
        <v>72</v>
      </c>
    </row>
    <row r="61" spans="1:8" ht="15.75" customHeight="1">
      <c r="A61" s="638" t="s">
        <v>219</v>
      </c>
      <c r="B61" s="638"/>
      <c r="C61" s="638"/>
      <c r="D61" s="638"/>
      <c r="E61" s="638"/>
      <c r="F61" s="638"/>
      <c r="G61" s="638"/>
      <c r="H61" s="638"/>
    </row>
    <row r="62" spans="1:8" ht="15.75" customHeight="1">
      <c r="B62" s="143" t="s">
        <v>220</v>
      </c>
      <c r="C62" s="159" t="s">
        <v>221</v>
      </c>
      <c r="D62" s="145" t="s">
        <v>27</v>
      </c>
      <c r="E62" s="146">
        <v>191432</v>
      </c>
      <c r="F62" s="146">
        <v>127800</v>
      </c>
      <c r="G62" s="160">
        <f>IFERROR(F62/E62,"")</f>
        <v>0.66759998328388148</v>
      </c>
    </row>
    <row r="63" spans="1:8" ht="15.75" customHeight="1">
      <c r="B63" s="148" t="s">
        <v>222</v>
      </c>
      <c r="C63" s="159" t="s">
        <v>221</v>
      </c>
      <c r="D63" s="145" t="s">
        <v>27</v>
      </c>
      <c r="E63" s="146">
        <v>426975</v>
      </c>
      <c r="F63" s="146">
        <v>332676</v>
      </c>
      <c r="G63" s="160">
        <f>IFERROR(F63/E63,"")</f>
        <v>0.779146320042157</v>
      </c>
    </row>
    <row r="64" spans="1:8" ht="15.75" customHeight="1">
      <c r="A64" s="637"/>
      <c r="B64" s="637"/>
      <c r="C64" s="637"/>
      <c r="D64" s="637"/>
      <c r="E64" s="637"/>
      <c r="F64" s="637"/>
      <c r="G64" s="637"/>
      <c r="H64" s="637"/>
    </row>
    <row r="65" spans="1:8" ht="15.75" customHeight="1">
      <c r="A65" s="637"/>
      <c r="B65" s="637"/>
      <c r="C65" s="637"/>
      <c r="D65" s="637"/>
      <c r="E65" s="637"/>
      <c r="F65" s="637"/>
      <c r="G65" s="637"/>
      <c r="H65" s="637"/>
    </row>
    <row r="66" spans="1:8" ht="15.75" customHeight="1">
      <c r="B66" s="156" t="s">
        <v>225</v>
      </c>
      <c r="C66" s="159" t="s">
        <v>221</v>
      </c>
      <c r="D66" s="145" t="s">
        <v>27</v>
      </c>
      <c r="E66" s="158" t="s">
        <v>72</v>
      </c>
      <c r="F66" s="158" t="s">
        <v>72</v>
      </c>
    </row>
    <row r="67" spans="1:8" ht="15.75" customHeight="1">
      <c r="B67" s="161" t="s">
        <v>226</v>
      </c>
      <c r="C67" s="159" t="s">
        <v>221</v>
      </c>
      <c r="D67" s="145" t="s">
        <v>27</v>
      </c>
      <c r="E67" s="146">
        <v>119220</v>
      </c>
      <c r="F67" s="146">
        <v>48411</v>
      </c>
      <c r="G67" s="160">
        <f>IFERROR(F67/E67,"")</f>
        <v>0.40606441872169097</v>
      </c>
    </row>
    <row r="68" spans="1:8" ht="18" customHeight="1">
      <c r="B68" s="162" t="s">
        <v>227</v>
      </c>
      <c r="C68" s="163" t="s">
        <v>221</v>
      </c>
      <c r="D68" s="164" t="s">
        <v>27</v>
      </c>
      <c r="E68" s="165">
        <v>1343125</v>
      </c>
      <c r="F68" s="165">
        <v>751255</v>
      </c>
      <c r="G68" s="166">
        <f>IFERROR(F68/E68,"")</f>
        <v>0.55933364355514192</v>
      </c>
    </row>
    <row r="69" spans="1:8" ht="7.5" customHeight="1"/>
    <row r="70" spans="1:8" ht="21.75" customHeight="1">
      <c r="A70" s="639" t="s">
        <v>231</v>
      </c>
      <c r="B70" s="639"/>
      <c r="C70" s="639"/>
      <c r="D70" s="639"/>
      <c r="E70" s="639"/>
      <c r="F70" s="639"/>
      <c r="G70" s="639"/>
      <c r="H70" s="639"/>
    </row>
    <row r="71" spans="1:8" ht="15.75" customHeight="1">
      <c r="B71" s="185" t="s">
        <v>214</v>
      </c>
      <c r="C71" s="186" t="s">
        <v>18</v>
      </c>
      <c r="D71" s="187" t="s">
        <v>19</v>
      </c>
      <c r="E71" s="188">
        <v>248</v>
      </c>
      <c r="F71" s="188">
        <v>88</v>
      </c>
      <c r="G71" s="147">
        <f>IFERROR(F71/E71,"")</f>
        <v>0.35483870967741937</v>
      </c>
    </row>
    <row r="72" spans="1:8" ht="15.75" customHeight="1">
      <c r="B72" s="189" t="s">
        <v>215</v>
      </c>
      <c r="C72" s="190" t="s">
        <v>20</v>
      </c>
      <c r="D72" s="187" t="s">
        <v>19</v>
      </c>
      <c r="E72" s="188">
        <v>385</v>
      </c>
      <c r="F72" s="191" t="s">
        <v>72</v>
      </c>
      <c r="G72" s="192" t="s">
        <v>72</v>
      </c>
    </row>
    <row r="73" spans="1:8" ht="15.75" customHeight="1">
      <c r="B73" s="193" t="s">
        <v>216</v>
      </c>
      <c r="C73" s="194" t="s">
        <v>21</v>
      </c>
      <c r="D73" s="187" t="s">
        <v>19</v>
      </c>
      <c r="E73" s="188">
        <v>300</v>
      </c>
      <c r="F73" s="191" t="s">
        <v>72</v>
      </c>
      <c r="G73" s="192" t="s">
        <v>72</v>
      </c>
    </row>
    <row r="74" spans="1:8" ht="15.75" customHeight="1">
      <c r="A74" s="637"/>
      <c r="B74" s="637"/>
      <c r="C74" s="637"/>
      <c r="D74" s="637"/>
      <c r="E74" s="637"/>
      <c r="F74" s="637"/>
      <c r="G74" s="637"/>
      <c r="H74" s="637"/>
    </row>
    <row r="75" spans="1:8" ht="15.75" customHeight="1">
      <c r="B75" s="195" t="s">
        <v>218</v>
      </c>
      <c r="C75" s="196" t="s">
        <v>23</v>
      </c>
      <c r="D75" s="187" t="s">
        <v>19</v>
      </c>
      <c r="E75" s="197" t="s">
        <v>72</v>
      </c>
      <c r="F75" s="188">
        <v>0</v>
      </c>
    </row>
    <row r="76" spans="1:8" ht="15.75" customHeight="1">
      <c r="B76" s="198" t="s">
        <v>229</v>
      </c>
      <c r="C76" s="199" t="s">
        <v>24</v>
      </c>
      <c r="D76" s="187" t="s">
        <v>19</v>
      </c>
      <c r="E76" s="188">
        <v>113</v>
      </c>
      <c r="F76" s="191" t="s">
        <v>72</v>
      </c>
      <c r="G76" s="192" t="s">
        <v>72</v>
      </c>
    </row>
    <row r="77" spans="1:8" ht="15.75" customHeight="1">
      <c r="A77" s="638" t="s">
        <v>219</v>
      </c>
      <c r="B77" s="638"/>
      <c r="C77" s="638"/>
      <c r="D77" s="638"/>
      <c r="E77" s="638"/>
      <c r="F77" s="638"/>
      <c r="G77" s="638"/>
      <c r="H77" s="638"/>
    </row>
    <row r="78" spans="1:8" ht="15.75" customHeight="1">
      <c r="B78" s="185" t="s">
        <v>220</v>
      </c>
      <c r="C78" s="200" t="s">
        <v>221</v>
      </c>
      <c r="D78" s="187" t="s">
        <v>27</v>
      </c>
      <c r="E78" s="188">
        <v>191432</v>
      </c>
      <c r="F78" s="188">
        <v>120000</v>
      </c>
      <c r="G78" s="160">
        <f>IFERROR(F78/E78,"")</f>
        <v>0.62685444439801075</v>
      </c>
    </row>
    <row r="79" spans="1:8" ht="15.75" customHeight="1">
      <c r="A79" s="637"/>
      <c r="B79" s="637"/>
      <c r="C79" s="637"/>
      <c r="D79" s="637"/>
      <c r="E79" s="637"/>
      <c r="F79" s="637"/>
      <c r="G79" s="637"/>
      <c r="H79" s="637"/>
    </row>
    <row r="80" spans="1:8" ht="15.75" customHeight="1">
      <c r="A80" s="637"/>
      <c r="B80" s="637"/>
      <c r="C80" s="637"/>
      <c r="D80" s="637"/>
      <c r="E80" s="637"/>
      <c r="F80" s="637"/>
      <c r="G80" s="637"/>
      <c r="H80" s="637"/>
    </row>
    <row r="81" spans="1:8" ht="15.75" customHeight="1">
      <c r="B81" s="201" t="s">
        <v>224</v>
      </c>
      <c r="C81" s="200" t="s">
        <v>221</v>
      </c>
      <c r="D81" s="187" t="s">
        <v>27</v>
      </c>
      <c r="E81" s="188">
        <v>281280</v>
      </c>
      <c r="F81" s="188">
        <v>1190000</v>
      </c>
      <c r="G81" s="202">
        <f>IFERROR(F81/E81,"")</f>
        <v>4.2306598407280998</v>
      </c>
    </row>
    <row r="82" spans="1:8" ht="15.75" customHeight="1">
      <c r="B82" s="195" t="s">
        <v>225</v>
      </c>
      <c r="C82" s="200" t="s">
        <v>221</v>
      </c>
      <c r="D82" s="187" t="s">
        <v>27</v>
      </c>
      <c r="E82" s="197" t="s">
        <v>72</v>
      </c>
      <c r="F82" s="197" t="s">
        <v>72</v>
      </c>
    </row>
    <row r="83" spans="1:8" ht="15.75" customHeight="1">
      <c r="B83" s="198" t="s">
        <v>226</v>
      </c>
      <c r="C83" s="200" t="s">
        <v>221</v>
      </c>
      <c r="D83" s="187" t="s">
        <v>27</v>
      </c>
      <c r="E83" s="188">
        <v>82649</v>
      </c>
      <c r="F83" s="188">
        <v>410000</v>
      </c>
      <c r="G83" s="202">
        <f>IFERROR(F83/E83,"")</f>
        <v>4.9607375769821775</v>
      </c>
    </row>
    <row r="84" spans="1:8" ht="18" customHeight="1">
      <c r="A84" s="637"/>
      <c r="B84" s="637"/>
      <c r="C84" s="637"/>
      <c r="D84" s="637"/>
      <c r="E84" s="637"/>
      <c r="F84" s="637"/>
      <c r="G84" s="637"/>
      <c r="H84" s="637"/>
    </row>
    <row r="85" spans="1:8" ht="7.5" customHeight="1"/>
    <row r="86" spans="1:8" ht="21.75" customHeight="1"/>
    <row r="87" spans="1:8" ht="21.75" customHeight="1"/>
    <row r="88" spans="1:8" ht="21.75" customHeight="1"/>
    <row r="89" spans="1:8" ht="21.75" customHeight="1"/>
    <row r="90" spans="1:8" ht="21.75" customHeight="1">
      <c r="A90" s="3" t="s">
        <v>232</v>
      </c>
      <c r="B90" s="203"/>
      <c r="C90" s="203"/>
      <c r="D90" s="203"/>
      <c r="E90" s="203"/>
      <c r="F90" s="203"/>
      <c r="G90" s="203"/>
      <c r="H90" s="203"/>
    </row>
    <row r="91" spans="1:8" ht="21.75" customHeight="1">
      <c r="A91" s="2" t="s">
        <v>233</v>
      </c>
      <c r="B91" s="203"/>
      <c r="C91" s="203"/>
      <c r="D91" s="203"/>
      <c r="E91" s="203"/>
      <c r="F91" s="203"/>
      <c r="G91" s="203"/>
      <c r="H91" s="203"/>
    </row>
    <row r="92" spans="1:8" ht="21.75" customHeight="1">
      <c r="A92" s="4"/>
      <c r="B92" s="4" t="s">
        <v>234</v>
      </c>
      <c r="C92" s="5" t="s">
        <v>235</v>
      </c>
      <c r="D92" s="5" t="s">
        <v>3</v>
      </c>
      <c r="E92" s="5" t="s">
        <v>236</v>
      </c>
      <c r="F92" s="5" t="s">
        <v>237</v>
      </c>
      <c r="G92" s="5" t="s">
        <v>238</v>
      </c>
      <c r="H92" s="5" t="s">
        <v>183</v>
      </c>
    </row>
    <row r="93" spans="1:8" ht="15" customHeight="1">
      <c r="A93" s="204" t="s">
        <v>239</v>
      </c>
      <c r="B93" s="203"/>
      <c r="C93" s="203"/>
      <c r="D93" s="203"/>
      <c r="E93" s="203"/>
      <c r="F93" s="203"/>
      <c r="G93" s="203"/>
      <c r="H93" s="203"/>
    </row>
    <row r="94" spans="1:8" ht="25.5" customHeight="1">
      <c r="A94" s="640"/>
      <c r="B94" s="640"/>
      <c r="C94" s="640"/>
      <c r="D94" s="640"/>
      <c r="E94" s="640"/>
      <c r="F94" s="640"/>
      <c r="G94" s="640"/>
      <c r="H94" s="640"/>
    </row>
    <row r="95" spans="1:8" ht="21.75" customHeight="1">
      <c r="A95" s="640"/>
      <c r="B95" s="640"/>
      <c r="C95" s="640"/>
      <c r="D95" s="640"/>
      <c r="E95" s="640"/>
      <c r="F95" s="640"/>
      <c r="G95" s="640"/>
      <c r="H95" s="640"/>
    </row>
    <row r="96" spans="1:8" ht="21.75" customHeight="1">
      <c r="A96" s="640"/>
      <c r="B96" s="640"/>
      <c r="C96" s="640"/>
      <c r="D96" s="640"/>
      <c r="E96" s="640"/>
      <c r="F96" s="640"/>
      <c r="G96" s="640"/>
      <c r="H96" s="640"/>
    </row>
    <row r="97" spans="1:8" ht="21.75" customHeight="1">
      <c r="A97" s="640"/>
      <c r="B97" s="640"/>
      <c r="C97" s="640"/>
      <c r="D97" s="640"/>
      <c r="E97" s="640"/>
      <c r="F97" s="640"/>
      <c r="G97" s="640"/>
      <c r="H97" s="640"/>
    </row>
    <row r="98" spans="1:8" ht="21.75" customHeight="1">
      <c r="A98" s="6"/>
      <c r="B98" s="205" t="s">
        <v>39</v>
      </c>
      <c r="C98" s="8" t="s">
        <v>18</v>
      </c>
      <c r="D98" s="8" t="s">
        <v>40</v>
      </c>
      <c r="E98" s="206">
        <v>3</v>
      </c>
      <c r="F98" s="207">
        <v>5</v>
      </c>
      <c r="G98" s="208">
        <f>IFERROR(F9/E9,"")</f>
        <v>4.8937355324074074</v>
      </c>
      <c r="H98" s="208"/>
    </row>
    <row r="99" spans="1:8" ht="21.75" customHeight="1">
      <c r="A99" s="6"/>
      <c r="B99" s="205" t="s">
        <v>240</v>
      </c>
      <c r="C99" s="8" t="s">
        <v>18</v>
      </c>
      <c r="D99" s="8" t="s">
        <v>241</v>
      </c>
      <c r="E99" s="206">
        <v>6</v>
      </c>
      <c r="F99" s="207">
        <v>5</v>
      </c>
      <c r="G99" s="208">
        <f>IFERROR(F10/E10,"")</f>
        <v>42.897037037037038</v>
      </c>
      <c r="H99" s="208"/>
    </row>
    <row r="100" spans="1:8" ht="21.75" customHeight="1">
      <c r="A100" s="26"/>
      <c r="B100" s="203"/>
      <c r="C100" s="203"/>
      <c r="D100" s="203"/>
      <c r="E100" s="203"/>
      <c r="F100" s="203"/>
      <c r="G100" s="203"/>
      <c r="H100" s="209"/>
    </row>
    <row r="101" spans="1:8" ht="21.75" customHeight="1">
      <c r="A101" s="26"/>
      <c r="B101" s="210" t="s">
        <v>44</v>
      </c>
      <c r="C101" s="28" t="s">
        <v>24</v>
      </c>
      <c r="D101" s="28" t="s">
        <v>241</v>
      </c>
      <c r="E101" s="211">
        <v>3</v>
      </c>
      <c r="F101" s="207">
        <v>8</v>
      </c>
      <c r="G101" s="208">
        <f>IFERROR(F12/E12,"")</f>
        <v>3.9037998047470865</v>
      </c>
      <c r="H101" s="208"/>
    </row>
    <row r="102" spans="1:8" ht="21.75" customHeight="1">
      <c r="A102" s="26"/>
      <c r="B102" s="210" t="s">
        <v>242</v>
      </c>
      <c r="C102" s="28" t="s">
        <v>24</v>
      </c>
      <c r="D102" s="28" t="s">
        <v>243</v>
      </c>
      <c r="E102" s="211">
        <v>3</v>
      </c>
      <c r="F102" s="207">
        <v>8</v>
      </c>
      <c r="G102" s="208">
        <f>IFERROR(F13/E13,"")</f>
        <v>3.7407691782691783</v>
      </c>
      <c r="H102" s="208"/>
    </row>
    <row r="103" spans="1:8" ht="21.75" customHeight="1">
      <c r="A103" s="212"/>
      <c r="B103" s="213" t="s">
        <v>244</v>
      </c>
      <c r="C103" s="214" t="s">
        <v>245</v>
      </c>
      <c r="D103" s="214" t="s">
        <v>241</v>
      </c>
      <c r="E103" s="215">
        <v>9</v>
      </c>
      <c r="F103" s="216"/>
      <c r="G103" s="217">
        <f>IFERROR(F14/E14,"")</f>
        <v>5.8280011915400651</v>
      </c>
      <c r="H103" s="218"/>
    </row>
    <row r="104" spans="1:8" ht="21.75" customHeight="1">
      <c r="A104" s="219"/>
      <c r="B104" s="220" t="s">
        <v>246</v>
      </c>
      <c r="C104" s="221" t="s">
        <v>21</v>
      </c>
      <c r="D104" s="222" t="s">
        <v>241</v>
      </c>
      <c r="E104" s="223">
        <v>2</v>
      </c>
      <c r="F104" s="224"/>
      <c r="G104" s="217">
        <f>IFERROR(F15/E15,"")</f>
        <v>5.870153144346693</v>
      </c>
      <c r="H104" s="225"/>
    </row>
    <row r="105" spans="1:8" ht="21.75" customHeight="1">
      <c r="A105" s="226"/>
      <c r="B105" s="227" t="s">
        <v>247</v>
      </c>
      <c r="C105" s="228" t="s">
        <v>248</v>
      </c>
      <c r="D105" s="228" t="s">
        <v>27</v>
      </c>
      <c r="E105" s="229">
        <v>1690151</v>
      </c>
      <c r="F105" s="230">
        <v>1836498</v>
      </c>
      <c r="G105" s="208">
        <f>IFERROR(F15/E15,"")</f>
        <v>5.870153144346693</v>
      </c>
      <c r="H105" s="208"/>
    </row>
    <row r="106" spans="1:8" ht="21.75" customHeight="1">
      <c r="A106" s="10"/>
      <c r="B106" s="231" t="s">
        <v>249</v>
      </c>
      <c r="C106" s="12" t="s">
        <v>248</v>
      </c>
      <c r="D106" s="12" t="s">
        <v>27</v>
      </c>
      <c r="E106" s="232">
        <v>598500</v>
      </c>
      <c r="F106" s="230">
        <v>752900</v>
      </c>
      <c r="G106" s="208">
        <f>IFERROR(F16/E16,"")</f>
        <v>5.2697460718294051</v>
      </c>
      <c r="H106" s="208"/>
    </row>
    <row r="107" spans="1:8" ht="21.75" customHeight="1">
      <c r="A107" s="6"/>
      <c r="B107" s="203"/>
      <c r="C107" s="203"/>
      <c r="D107" s="203"/>
      <c r="E107" s="203"/>
      <c r="F107" s="203"/>
      <c r="G107" s="203"/>
      <c r="H107" s="209"/>
    </row>
    <row r="108" spans="1:8" ht="15" customHeight="1">
      <c r="A108" s="233"/>
      <c r="B108" s="205" t="s">
        <v>250</v>
      </c>
      <c r="C108" s="8" t="s">
        <v>248</v>
      </c>
      <c r="D108" s="8" t="s">
        <v>27</v>
      </c>
      <c r="E108" s="206">
        <v>248400</v>
      </c>
      <c r="F108" s="207">
        <v>375000</v>
      </c>
      <c r="G108" s="234" t="str">
        <f>IFERROR(F19/E19,"")</f>
        <v/>
      </c>
    </row>
    <row r="109" spans="1:8" ht="25.5" customHeight="1">
      <c r="A109" s="641"/>
      <c r="B109" s="641"/>
      <c r="C109" s="641"/>
      <c r="D109" s="641"/>
      <c r="E109" s="641"/>
      <c r="F109" s="641"/>
      <c r="G109" s="641"/>
      <c r="H109" s="641"/>
    </row>
    <row r="110" spans="1:8" ht="21.75" customHeight="1">
      <c r="A110" s="642" t="s">
        <v>251</v>
      </c>
      <c r="B110" s="642"/>
      <c r="C110" s="642"/>
      <c r="D110" s="642"/>
      <c r="E110" s="642"/>
      <c r="F110" s="642"/>
      <c r="G110" s="642"/>
      <c r="H110" s="642"/>
    </row>
    <row r="111" spans="1:8" ht="21.75" customHeight="1">
      <c r="A111" s="236"/>
      <c r="B111" s="203"/>
      <c r="C111" s="203"/>
      <c r="D111" s="203"/>
      <c r="E111" s="203"/>
      <c r="F111" s="203"/>
      <c r="G111" s="203"/>
      <c r="H111" s="209"/>
    </row>
    <row r="112" spans="1:8" ht="21.75" customHeight="1">
      <c r="A112" s="236"/>
      <c r="B112" s="237" t="s">
        <v>252</v>
      </c>
      <c r="C112" s="238" t="s">
        <v>253</v>
      </c>
      <c r="D112" s="239" t="s">
        <v>254</v>
      </c>
      <c r="E112" s="238" t="s">
        <v>72</v>
      </c>
      <c r="F112" s="240"/>
      <c r="G112" s="241"/>
      <c r="H112" s="241"/>
    </row>
    <row r="113" spans="1:8" ht="21.75" customHeight="1">
      <c r="A113" s="236"/>
      <c r="B113" s="237" t="s">
        <v>255</v>
      </c>
      <c r="C113" s="238" t="s">
        <v>253</v>
      </c>
      <c r="D113" s="238" t="s">
        <v>35</v>
      </c>
      <c r="E113" s="238" t="s">
        <v>72</v>
      </c>
      <c r="F113" s="240"/>
      <c r="G113" s="241"/>
      <c r="H113" s="241"/>
    </row>
    <row r="114" spans="1:8" ht="21.75" customHeight="1">
      <c r="A114" s="236"/>
      <c r="B114" s="237" t="s">
        <v>256</v>
      </c>
      <c r="C114" s="238" t="s">
        <v>253</v>
      </c>
      <c r="D114" s="239" t="s">
        <v>241</v>
      </c>
      <c r="E114" s="238" t="s">
        <v>72</v>
      </c>
      <c r="F114" s="240"/>
      <c r="G114" s="241"/>
      <c r="H114" s="241"/>
    </row>
    <row r="115" spans="1:8" ht="21.75" customHeight="1">
      <c r="A115" s="643"/>
      <c r="B115" s="643"/>
      <c r="C115" s="643"/>
      <c r="D115" s="643"/>
      <c r="E115" s="643"/>
      <c r="F115" s="643"/>
      <c r="G115" s="643"/>
      <c r="H115" s="643"/>
    </row>
    <row r="116" spans="1:8" ht="21.75" customHeight="1">
      <c r="A116" s="644" t="s">
        <v>257</v>
      </c>
      <c r="B116" s="644"/>
      <c r="C116" s="644"/>
      <c r="D116" s="644"/>
      <c r="E116" s="644"/>
      <c r="F116" s="644"/>
      <c r="G116" s="644"/>
      <c r="H116" s="644"/>
    </row>
    <row r="117" spans="1:8" ht="21.75" customHeight="1">
      <c r="A117" s="243"/>
      <c r="B117" s="203"/>
      <c r="C117" s="203"/>
      <c r="D117" s="203"/>
      <c r="E117" s="203"/>
      <c r="F117" s="203"/>
      <c r="G117" s="203"/>
      <c r="H117" s="209"/>
    </row>
    <row r="118" spans="1:8" ht="21.75" customHeight="1">
      <c r="A118" s="244"/>
      <c r="B118" s="203"/>
      <c r="C118" s="203"/>
      <c r="D118" s="203"/>
      <c r="E118" s="203"/>
      <c r="F118" s="203"/>
      <c r="G118" s="203"/>
      <c r="H118" s="209"/>
    </row>
    <row r="119" spans="1:8" ht="21.75" customHeight="1">
      <c r="A119" s="245"/>
      <c r="B119" s="203"/>
      <c r="C119" s="203"/>
      <c r="D119" s="203"/>
      <c r="E119" s="203"/>
      <c r="F119" s="203"/>
      <c r="G119" s="203"/>
      <c r="H119" s="209"/>
    </row>
    <row r="120" spans="1:8" ht="21.75" customHeight="1">
      <c r="A120" s="645"/>
      <c r="B120" s="645"/>
      <c r="C120" s="645"/>
      <c r="D120" s="645"/>
      <c r="E120" s="645"/>
      <c r="F120" s="645"/>
      <c r="G120" s="645"/>
      <c r="H120" s="645"/>
    </row>
    <row r="121" spans="1:8" ht="21.75" customHeight="1">
      <c r="A121" s="219"/>
      <c r="B121" s="203"/>
      <c r="C121" s="203"/>
      <c r="D121" s="203"/>
      <c r="E121" s="203"/>
      <c r="F121" s="203"/>
      <c r="G121" s="203"/>
      <c r="H121" s="209"/>
    </row>
    <row r="122" spans="1:8" ht="21.75" customHeight="1">
      <c r="A122" s="247"/>
      <c r="B122" s="203"/>
      <c r="C122" s="203"/>
      <c r="D122" s="203"/>
      <c r="E122" s="203"/>
      <c r="F122" s="203"/>
      <c r="G122" s="203"/>
      <c r="H122" s="209"/>
    </row>
    <row r="123" spans="1:8" ht="21.75" customHeight="1">
      <c r="A123" s="248"/>
      <c r="B123" s="203"/>
      <c r="C123" s="203"/>
      <c r="D123" s="203"/>
      <c r="E123" s="203"/>
      <c r="F123" s="203"/>
      <c r="G123" s="203"/>
      <c r="H123" s="203"/>
    </row>
    <row r="124" spans="1:8" ht="21.75" customHeight="1">
      <c r="A124" s="646"/>
      <c r="B124" s="646"/>
      <c r="C124" s="646"/>
      <c r="D124" s="646"/>
      <c r="E124" s="646"/>
      <c r="F124" s="646"/>
      <c r="G124" s="646"/>
      <c r="H124" s="646"/>
    </row>
    <row r="125" spans="1:8" ht="21.75" customHeight="1">
      <c r="A125" s="647"/>
      <c r="B125" s="647"/>
      <c r="C125" s="647"/>
      <c r="D125" s="647"/>
      <c r="E125" s="647"/>
      <c r="F125" s="647"/>
      <c r="G125" s="647"/>
      <c r="H125" s="647"/>
    </row>
    <row r="126" spans="1:8" ht="21.75" customHeight="1">
      <c r="A126" s="251" t="s">
        <v>251</v>
      </c>
    </row>
    <row r="127" spans="1:8" ht="21.75" customHeight="1">
      <c r="A127" s="63"/>
      <c r="B127" s="252" t="s">
        <v>258</v>
      </c>
      <c r="C127" s="44" t="s">
        <v>253</v>
      </c>
      <c r="D127" s="28" t="s">
        <v>259</v>
      </c>
      <c r="E127" s="253">
        <v>45000</v>
      </c>
      <c r="F127" s="240"/>
      <c r="G127" s="208">
        <f>IFERROR(F30/E30,"")</f>
        <v>0.25498871662000083</v>
      </c>
      <c r="H127" s="254"/>
    </row>
    <row r="128" spans="1:8" ht="21.75" customHeight="1">
      <c r="A128" s="63"/>
      <c r="B128" s="203"/>
      <c r="C128" s="203"/>
      <c r="D128" s="203"/>
      <c r="E128" s="203"/>
      <c r="F128" s="203"/>
      <c r="G128" s="203"/>
      <c r="H128" s="209"/>
    </row>
    <row r="129" spans="1:8" ht="21.75" customHeight="1">
      <c r="A129" s="250"/>
      <c r="B129" s="203"/>
      <c r="C129" s="203"/>
      <c r="D129" s="203"/>
      <c r="E129" s="203"/>
      <c r="F129" s="203"/>
      <c r="G129" s="203"/>
      <c r="H129" s="209"/>
    </row>
    <row r="130" spans="1:8" ht="21.75" customHeight="1">
      <c r="A130" s="255"/>
      <c r="B130" s="203"/>
      <c r="C130" s="203"/>
      <c r="D130" s="203"/>
      <c r="E130" s="203"/>
      <c r="F130" s="203"/>
      <c r="G130" s="203"/>
      <c r="H130" s="209"/>
    </row>
    <row r="131" spans="1:8" ht="21.75" customHeight="1">
      <c r="A131" s="57"/>
      <c r="B131" s="203"/>
      <c r="C131" s="203"/>
      <c r="D131" s="203"/>
      <c r="E131" s="203"/>
      <c r="F131" s="203"/>
      <c r="G131" s="203"/>
      <c r="H131" s="209"/>
    </row>
    <row r="132" spans="1:8" ht="21.75" customHeight="1">
      <c r="A132" s="60"/>
      <c r="B132" s="203"/>
      <c r="C132" s="203"/>
      <c r="D132" s="203"/>
      <c r="E132" s="203"/>
      <c r="F132" s="203"/>
      <c r="G132" s="203"/>
      <c r="H132" s="209"/>
    </row>
    <row r="133" spans="1:8" ht="21.75" customHeight="1">
      <c r="A133" s="250"/>
      <c r="B133" s="203"/>
      <c r="C133" s="203"/>
      <c r="D133" s="203"/>
      <c r="E133" s="203"/>
      <c r="F133" s="203"/>
      <c r="G133" s="203"/>
      <c r="H133" s="209"/>
    </row>
    <row r="134" spans="1:8" ht="21.75" customHeight="1">
      <c r="A134" s="637"/>
      <c r="B134" s="637"/>
      <c r="C134" s="637"/>
      <c r="D134" s="637"/>
      <c r="E134" s="637"/>
      <c r="F134" s="637"/>
      <c r="G134" s="637"/>
      <c r="H134" s="637"/>
    </row>
    <row r="135" spans="1:8" ht="21.75" customHeight="1">
      <c r="A135" s="204" t="s">
        <v>260</v>
      </c>
      <c r="B135" s="203"/>
      <c r="C135" s="203"/>
      <c r="D135" s="203"/>
      <c r="E135" s="203"/>
      <c r="F135" s="203"/>
      <c r="G135" s="203"/>
      <c r="H135" s="203"/>
    </row>
    <row r="136" spans="1:8" ht="21.75" customHeight="1">
      <c r="A136" s="10"/>
      <c r="B136" s="203"/>
      <c r="C136" s="203"/>
      <c r="D136" s="203"/>
      <c r="E136" s="203"/>
      <c r="F136" s="203"/>
      <c r="G136" s="203"/>
      <c r="H136" s="209"/>
    </row>
    <row r="137" spans="1:8" ht="21.75" customHeight="1">
      <c r="A137" s="10"/>
      <c r="B137" s="203"/>
      <c r="C137" s="203"/>
      <c r="D137" s="203"/>
      <c r="E137" s="203"/>
      <c r="F137" s="203"/>
      <c r="G137" s="203"/>
      <c r="H137" s="209"/>
    </row>
    <row r="138" spans="1:8" ht="21.75" customHeight="1">
      <c r="A138" s="10"/>
      <c r="B138" s="203"/>
      <c r="C138" s="203"/>
      <c r="D138" s="203"/>
      <c r="E138" s="203"/>
      <c r="F138" s="203"/>
      <c r="G138" s="203"/>
      <c r="H138" s="209"/>
    </row>
    <row r="139" spans="1:8" ht="21.75" customHeight="1">
      <c r="A139" s="640"/>
      <c r="B139" s="640"/>
      <c r="C139" s="640"/>
      <c r="D139" s="640"/>
      <c r="E139" s="640"/>
      <c r="F139" s="640"/>
      <c r="G139" s="640"/>
      <c r="H139" s="640"/>
    </row>
    <row r="140" spans="1:8" ht="21.75" customHeight="1">
      <c r="A140" s="648"/>
      <c r="B140" s="648"/>
      <c r="C140" s="648"/>
      <c r="D140" s="648"/>
      <c r="E140" s="648"/>
      <c r="F140" s="648"/>
      <c r="G140" s="648"/>
      <c r="H140" s="648"/>
    </row>
    <row r="141" spans="1:8" ht="21.75" customHeight="1">
      <c r="A141" s="6"/>
      <c r="B141" s="203"/>
      <c r="C141" s="203"/>
      <c r="D141" s="203"/>
      <c r="E141" s="203"/>
      <c r="F141" s="203"/>
      <c r="G141" s="203"/>
      <c r="H141" s="209"/>
    </row>
    <row r="142" spans="1:8" ht="21.75" customHeight="1">
      <c r="A142" s="26"/>
      <c r="B142" s="203"/>
      <c r="C142" s="203"/>
      <c r="D142" s="203"/>
      <c r="E142" s="203"/>
      <c r="F142" s="203"/>
      <c r="G142" s="203"/>
      <c r="H142" s="209"/>
    </row>
    <row r="143" spans="1:8" ht="21.75" customHeight="1">
      <c r="A143" s="649"/>
      <c r="B143" s="649"/>
      <c r="C143" s="649"/>
      <c r="D143" s="649"/>
      <c r="E143" s="649"/>
      <c r="F143" s="649"/>
      <c r="G143" s="649"/>
      <c r="H143" s="649"/>
    </row>
    <row r="144" spans="1:8" ht="21.75" customHeight="1">
      <c r="A144" s="26"/>
      <c r="B144" s="203"/>
      <c r="C144" s="203"/>
      <c r="D144" s="203"/>
      <c r="E144" s="203"/>
      <c r="F144" s="203"/>
      <c r="G144" s="203"/>
      <c r="H144" s="209"/>
    </row>
    <row r="145" spans="1:8" ht="21.75" customHeight="1">
      <c r="A145" s="26"/>
      <c r="B145" s="203"/>
      <c r="C145" s="203"/>
      <c r="D145" s="203"/>
      <c r="E145" s="203"/>
      <c r="F145" s="203"/>
      <c r="G145" s="203"/>
      <c r="H145" s="209"/>
    </row>
    <row r="146" spans="1:8" ht="21.75" customHeight="1">
      <c r="A146" s="226"/>
      <c r="B146" s="203"/>
      <c r="C146" s="203"/>
      <c r="D146" s="203"/>
      <c r="E146" s="203"/>
      <c r="F146" s="203"/>
      <c r="G146" s="203"/>
      <c r="H146" s="209"/>
    </row>
    <row r="147" spans="1:8" ht="21.75" customHeight="1">
      <c r="A147" s="10"/>
      <c r="B147" s="203"/>
      <c r="C147" s="203"/>
      <c r="D147" s="203"/>
      <c r="E147" s="203"/>
      <c r="F147" s="203"/>
      <c r="G147" s="203"/>
      <c r="H147" s="209"/>
    </row>
    <row r="148" spans="1:8" ht="21.75" customHeight="1">
      <c r="A148" s="648"/>
      <c r="B148" s="648"/>
      <c r="C148" s="648"/>
      <c r="D148" s="648"/>
      <c r="E148" s="648"/>
      <c r="F148" s="648"/>
      <c r="G148" s="648"/>
      <c r="H148" s="648"/>
    </row>
    <row r="149" spans="1:8" ht="21.75" customHeight="1">
      <c r="A149" s="235" t="s">
        <v>251</v>
      </c>
      <c r="B149" s="203"/>
      <c r="C149" s="203"/>
      <c r="D149" s="203"/>
      <c r="E149" s="203"/>
      <c r="F149" s="203"/>
      <c r="G149" s="203"/>
      <c r="H149" s="203"/>
    </row>
    <row r="150" spans="1:8" ht="21.75" customHeight="1">
      <c r="A150" s="236"/>
      <c r="B150" s="256" t="s">
        <v>261</v>
      </c>
      <c r="C150" s="238" t="s">
        <v>253</v>
      </c>
      <c r="D150" s="239" t="s">
        <v>259</v>
      </c>
      <c r="E150" s="238" t="s">
        <v>72</v>
      </c>
      <c r="F150" s="240"/>
      <c r="G150" s="241"/>
      <c r="H150" s="241"/>
    </row>
    <row r="151" spans="1:8" ht="21.75" customHeight="1">
      <c r="A151" s="236"/>
      <c r="B151" s="203"/>
      <c r="C151" s="203"/>
      <c r="D151" s="203"/>
      <c r="E151" s="203"/>
      <c r="F151" s="203"/>
      <c r="G151" s="203"/>
      <c r="H151" s="209"/>
    </row>
    <row r="152" spans="1:8" ht="21.75" customHeight="1">
      <c r="A152" s="236"/>
      <c r="B152" s="203"/>
      <c r="C152" s="203"/>
      <c r="D152" s="203"/>
      <c r="E152" s="203"/>
      <c r="F152" s="203"/>
      <c r="G152" s="203"/>
      <c r="H152" s="209"/>
    </row>
    <row r="153" spans="1:8" ht="21.75" customHeight="1">
      <c r="A153" s="643"/>
      <c r="B153" s="643"/>
      <c r="C153" s="643"/>
      <c r="D153" s="643"/>
      <c r="E153" s="643"/>
      <c r="F153" s="643"/>
      <c r="G153" s="643"/>
      <c r="H153" s="643"/>
    </row>
    <row r="154" spans="1:8" ht="21.75" customHeight="1">
      <c r="A154" s="650"/>
      <c r="B154" s="650"/>
      <c r="C154" s="650"/>
      <c r="D154" s="650"/>
      <c r="E154" s="650"/>
      <c r="F154" s="650"/>
      <c r="G154" s="650"/>
      <c r="H154" s="650"/>
    </row>
    <row r="155" spans="1:8" ht="21.75" customHeight="1">
      <c r="A155" s="651"/>
      <c r="B155" s="651"/>
      <c r="C155" s="651"/>
      <c r="D155" s="651"/>
      <c r="E155" s="651"/>
      <c r="F155" s="651"/>
      <c r="G155" s="651"/>
      <c r="H155" s="651"/>
    </row>
    <row r="156" spans="1:8" ht="21.75" customHeight="1">
      <c r="A156" s="242" t="s">
        <v>257</v>
      </c>
      <c r="B156" s="203"/>
      <c r="C156" s="203"/>
      <c r="D156" s="203"/>
      <c r="E156" s="203"/>
      <c r="F156" s="203"/>
      <c r="G156" s="203"/>
      <c r="H156" s="203"/>
    </row>
    <row r="157" spans="1:8" ht="21.75" customHeight="1">
      <c r="A157" s="243"/>
      <c r="B157" s="203"/>
      <c r="C157" s="203"/>
      <c r="D157" s="203"/>
      <c r="E157" s="203"/>
      <c r="F157" s="203"/>
      <c r="G157" s="203"/>
      <c r="H157" s="209"/>
    </row>
    <row r="158" spans="1:8" ht="21.75" customHeight="1">
      <c r="A158" s="244"/>
      <c r="B158" s="257" t="s">
        <v>222</v>
      </c>
      <c r="C158" s="258" t="s">
        <v>221</v>
      </c>
      <c r="D158" s="258" t="s">
        <v>27</v>
      </c>
      <c r="E158" s="259">
        <v>186975</v>
      </c>
      <c r="F158" s="260"/>
      <c r="G158" s="217" t="str">
        <f>IFERROR(F41/E41,"")</f>
        <v/>
      </c>
      <c r="H158" s="225"/>
    </row>
    <row r="159" spans="1:8" ht="21.75" customHeight="1">
      <c r="A159" s="245"/>
      <c r="B159" s="261" t="s">
        <v>223</v>
      </c>
      <c r="C159" s="262" t="s">
        <v>221</v>
      </c>
      <c r="D159" s="262" t="s">
        <v>27</v>
      </c>
      <c r="E159" s="263">
        <v>137370</v>
      </c>
      <c r="F159" s="260"/>
      <c r="G159" s="217" t="str">
        <f>IFERROR(F42/E42,"")</f>
        <v/>
      </c>
      <c r="H159" s="225"/>
    </row>
    <row r="160" spans="1:8" ht="21.75" customHeight="1">
      <c r="A160" s="246"/>
      <c r="B160" s="264" t="s">
        <v>220</v>
      </c>
      <c r="C160" s="265" t="s">
        <v>221</v>
      </c>
      <c r="D160" s="265" t="s">
        <v>27</v>
      </c>
      <c r="E160" s="266">
        <v>71362</v>
      </c>
      <c r="F160" s="260"/>
      <c r="G160" s="217" t="str">
        <f>IFERROR(F43/E43,"")</f>
        <v/>
      </c>
      <c r="H160" s="225"/>
    </row>
    <row r="161" spans="1:8" ht="21.75" customHeight="1">
      <c r="A161" s="219"/>
      <c r="B161" s="267" t="s">
        <v>224</v>
      </c>
      <c r="C161" s="268" t="s">
        <v>221</v>
      </c>
      <c r="D161" s="268" t="s">
        <v>27</v>
      </c>
      <c r="E161" s="269">
        <v>167220</v>
      </c>
      <c r="F161" s="260"/>
      <c r="G161" s="217" t="str">
        <f>IFERROR(F44/E44,"")</f>
        <v/>
      </c>
      <c r="H161" s="225"/>
    </row>
    <row r="162" spans="1:8" ht="21.75" customHeight="1">
      <c r="A162" s="247"/>
      <c r="B162" s="203"/>
      <c r="C162" s="203"/>
      <c r="D162" s="203"/>
      <c r="E162" s="203"/>
      <c r="F162" s="203"/>
      <c r="G162" s="203"/>
      <c r="H162" s="209"/>
    </row>
    <row r="163" spans="1:8" ht="21.75" customHeight="1">
      <c r="A163" s="236"/>
      <c r="B163" s="203"/>
      <c r="C163" s="203"/>
      <c r="D163" s="203"/>
      <c r="E163" s="203"/>
      <c r="F163" s="203"/>
      <c r="G163" s="203"/>
      <c r="H163" s="209"/>
    </row>
    <row r="164" spans="1:8" ht="21.75" customHeight="1">
      <c r="A164" s="249" t="s">
        <v>251</v>
      </c>
      <c r="B164" s="203"/>
      <c r="C164" s="203"/>
      <c r="D164" s="203"/>
      <c r="E164" s="203"/>
      <c r="F164" s="203"/>
      <c r="G164" s="203"/>
      <c r="H164" s="203"/>
    </row>
    <row r="165" spans="1:8" ht="21.75" customHeight="1">
      <c r="A165" s="250"/>
      <c r="B165" s="203"/>
      <c r="C165" s="203"/>
      <c r="D165" s="203"/>
      <c r="E165" s="203"/>
      <c r="F165" s="203"/>
      <c r="G165" s="203"/>
      <c r="H165" s="209"/>
    </row>
    <row r="166" spans="1:8" ht="21.75" customHeight="1">
      <c r="A166" s="652"/>
      <c r="B166" s="652"/>
      <c r="C166" s="652"/>
      <c r="D166" s="652"/>
      <c r="E166" s="652"/>
      <c r="F166" s="652"/>
      <c r="G166" s="652"/>
      <c r="H166" s="652"/>
    </row>
    <row r="167" spans="1:8" ht="21.75" customHeight="1">
      <c r="A167" s="63"/>
      <c r="B167" s="203"/>
      <c r="C167" s="203"/>
      <c r="D167" s="203"/>
      <c r="E167" s="203"/>
      <c r="F167" s="203"/>
      <c r="G167" s="203"/>
      <c r="H167" s="209"/>
    </row>
    <row r="168" spans="1:8" ht="21.75" customHeight="1">
      <c r="A168" s="250"/>
      <c r="B168" s="203"/>
      <c r="C168" s="203"/>
      <c r="D168" s="203"/>
      <c r="E168" s="203"/>
      <c r="F168" s="203"/>
      <c r="G168" s="203"/>
      <c r="H168" s="209"/>
    </row>
    <row r="169" spans="1:8" ht="21.75" customHeight="1">
      <c r="A169" s="653"/>
      <c r="B169" s="653"/>
      <c r="C169" s="653"/>
      <c r="D169" s="653"/>
      <c r="E169" s="653"/>
      <c r="F169" s="653"/>
      <c r="G169" s="653"/>
      <c r="H169" s="653"/>
    </row>
    <row r="170" spans="1:8" ht="21.75" customHeight="1">
      <c r="A170" s="654"/>
      <c r="B170" s="654"/>
      <c r="C170" s="654"/>
      <c r="D170" s="654"/>
      <c r="E170" s="654"/>
      <c r="F170" s="654"/>
      <c r="G170" s="654"/>
      <c r="H170" s="654"/>
    </row>
    <row r="171" spans="1:8" ht="21.75" customHeight="1">
      <c r="A171" s="60"/>
      <c r="B171" s="203"/>
      <c r="C171" s="203"/>
      <c r="D171" s="203"/>
      <c r="E171" s="203"/>
      <c r="F171" s="203"/>
      <c r="G171" s="203"/>
      <c r="H171" s="209"/>
    </row>
    <row r="172" spans="1:8" ht="21.75" customHeight="1">
      <c r="A172" s="647"/>
      <c r="B172" s="647"/>
      <c r="C172" s="647"/>
      <c r="D172" s="647"/>
      <c r="E172" s="647"/>
      <c r="F172" s="647"/>
      <c r="G172" s="647"/>
      <c r="H172" s="647"/>
    </row>
    <row r="173" spans="1:8" ht="21.75" customHeight="1"/>
    <row r="174" spans="1:8" ht="21.75" customHeight="1">
      <c r="A174" s="204" t="s">
        <v>262</v>
      </c>
      <c r="B174" s="203"/>
      <c r="C174" s="203"/>
      <c r="D174" s="203"/>
      <c r="E174" s="203"/>
      <c r="F174" s="203"/>
      <c r="G174" s="203"/>
      <c r="H174" s="203"/>
    </row>
    <row r="175" spans="1:8" ht="21.75" customHeight="1">
      <c r="A175" s="10"/>
      <c r="B175" s="203"/>
      <c r="C175" s="203"/>
      <c r="D175" s="203"/>
      <c r="E175" s="203"/>
      <c r="F175" s="203"/>
      <c r="G175" s="203"/>
      <c r="H175" s="209"/>
    </row>
    <row r="176" spans="1:8" ht="21.75" customHeight="1">
      <c r="A176" s="10"/>
      <c r="B176" s="203"/>
      <c r="C176" s="203"/>
      <c r="D176" s="203"/>
      <c r="E176" s="203"/>
      <c r="F176" s="203"/>
      <c r="G176" s="203"/>
      <c r="H176" s="209"/>
    </row>
    <row r="177" spans="1:8" ht="21.75" customHeight="1">
      <c r="A177" s="10"/>
      <c r="B177" s="203"/>
      <c r="C177" s="203"/>
      <c r="D177" s="203"/>
      <c r="E177" s="203"/>
      <c r="F177" s="203"/>
      <c r="G177" s="203"/>
      <c r="H177" s="209"/>
    </row>
    <row r="178" spans="1:8" ht="21.75" customHeight="1">
      <c r="A178" s="10"/>
      <c r="B178" s="203"/>
      <c r="C178" s="203"/>
      <c r="D178" s="203"/>
      <c r="E178" s="203"/>
      <c r="F178" s="203"/>
      <c r="G178" s="203"/>
      <c r="H178" s="209"/>
    </row>
    <row r="179" spans="1:8" ht="21.75" customHeight="1">
      <c r="A179" s="6"/>
      <c r="B179" s="203"/>
      <c r="C179" s="203"/>
      <c r="D179" s="203"/>
      <c r="E179" s="203"/>
      <c r="F179" s="203"/>
      <c r="G179" s="203"/>
      <c r="H179" s="209"/>
    </row>
    <row r="180" spans="1:8" ht="21.75" customHeight="1">
      <c r="A180" s="648"/>
      <c r="B180" s="648"/>
      <c r="C180" s="648"/>
      <c r="D180" s="648"/>
      <c r="E180" s="648"/>
      <c r="F180" s="648"/>
      <c r="G180" s="648"/>
      <c r="H180" s="648"/>
    </row>
    <row r="181" spans="1:8" ht="21.75" customHeight="1">
      <c r="A181" s="26"/>
      <c r="B181" s="203"/>
      <c r="C181" s="203"/>
      <c r="D181" s="203"/>
      <c r="E181" s="203"/>
      <c r="F181" s="203"/>
      <c r="G181" s="203"/>
      <c r="H181" s="209"/>
    </row>
    <row r="182" spans="1:8" ht="21.75" customHeight="1">
      <c r="A182" s="26"/>
      <c r="B182" s="203"/>
      <c r="C182" s="203"/>
      <c r="D182" s="203"/>
      <c r="E182" s="203"/>
      <c r="F182" s="203"/>
      <c r="G182" s="203"/>
      <c r="H182" s="209"/>
    </row>
    <row r="183" spans="1:8" ht="21.75" customHeight="1">
      <c r="A183" s="26"/>
      <c r="B183" s="203"/>
      <c r="C183" s="203"/>
      <c r="D183" s="203"/>
      <c r="E183" s="203"/>
      <c r="F183" s="203"/>
      <c r="G183" s="203"/>
      <c r="H183" s="209"/>
    </row>
    <row r="184" spans="1:8" ht="21.75" customHeight="1">
      <c r="A184" s="26"/>
      <c r="B184" s="203"/>
      <c r="C184" s="203"/>
      <c r="D184" s="203"/>
      <c r="E184" s="203"/>
      <c r="F184" s="203"/>
      <c r="G184" s="203"/>
      <c r="H184" s="209"/>
    </row>
    <row r="185" spans="1:8" ht="21.75" customHeight="1">
      <c r="A185" s="655"/>
      <c r="B185" s="655"/>
      <c r="C185" s="655"/>
      <c r="D185" s="655"/>
      <c r="E185" s="655"/>
      <c r="F185" s="655"/>
      <c r="G185" s="655"/>
      <c r="H185" s="655"/>
    </row>
    <row r="186" spans="1:8" ht="21.75" customHeight="1">
      <c r="A186" s="10"/>
      <c r="B186" s="203"/>
      <c r="C186" s="203"/>
      <c r="D186" s="203"/>
      <c r="E186" s="203"/>
      <c r="F186" s="203"/>
      <c r="G186" s="203"/>
      <c r="H186" s="209"/>
    </row>
    <row r="187" spans="1:8" ht="21.75" customHeight="1">
      <c r="A187" s="6"/>
      <c r="B187" s="203"/>
      <c r="C187" s="203"/>
      <c r="D187" s="203"/>
      <c r="E187" s="203"/>
      <c r="F187" s="203"/>
      <c r="G187" s="203"/>
      <c r="H187" s="209"/>
    </row>
    <row r="188" spans="1:8" ht="21.75" customHeight="1">
      <c r="A188" s="235" t="s">
        <v>251</v>
      </c>
      <c r="B188" s="203"/>
      <c r="C188" s="203"/>
      <c r="D188" s="203"/>
      <c r="E188" s="203"/>
      <c r="F188" s="203"/>
      <c r="G188" s="203"/>
      <c r="H188" s="203"/>
    </row>
    <row r="189" spans="1:8" ht="21.75" customHeight="1">
      <c r="A189" s="643"/>
      <c r="B189" s="643"/>
      <c r="C189" s="643"/>
      <c r="D189" s="643"/>
      <c r="E189" s="643"/>
      <c r="F189" s="643"/>
      <c r="G189" s="643"/>
      <c r="H189" s="643"/>
    </row>
    <row r="190" spans="1:8" ht="21.75" customHeight="1">
      <c r="A190" s="236"/>
      <c r="B190" s="237" t="s">
        <v>252</v>
      </c>
      <c r="C190" s="238" t="s">
        <v>253</v>
      </c>
      <c r="D190" s="239" t="s">
        <v>254</v>
      </c>
      <c r="E190" s="238" t="s">
        <v>72</v>
      </c>
      <c r="F190" s="240"/>
      <c r="G190" s="241"/>
      <c r="H190" s="241"/>
    </row>
    <row r="191" spans="1:8" ht="21.75" customHeight="1">
      <c r="A191" s="643"/>
      <c r="B191" s="643"/>
      <c r="C191" s="643"/>
      <c r="D191" s="643"/>
      <c r="E191" s="643"/>
      <c r="F191" s="643"/>
      <c r="G191" s="643"/>
      <c r="H191" s="643"/>
    </row>
    <row r="192" spans="1:8" ht="21.75" customHeight="1">
      <c r="A192" s="236"/>
      <c r="B192" s="203"/>
      <c r="C192" s="203"/>
      <c r="D192" s="203"/>
      <c r="E192" s="203"/>
      <c r="F192" s="203"/>
      <c r="G192" s="203"/>
      <c r="H192" s="209"/>
    </row>
    <row r="193" spans="1:8" ht="21.75" customHeight="1">
      <c r="A193" s="212"/>
      <c r="B193" s="203"/>
      <c r="C193" s="203"/>
      <c r="D193" s="203"/>
      <c r="E193" s="203"/>
      <c r="F193" s="203"/>
      <c r="G193" s="203"/>
      <c r="H193" s="209"/>
    </row>
    <row r="194" spans="1:8" ht="21.75" customHeight="1">
      <c r="A194" s="219"/>
      <c r="B194" s="220" t="s">
        <v>246</v>
      </c>
      <c r="C194" s="221" t="s">
        <v>21</v>
      </c>
      <c r="D194" s="222" t="s">
        <v>241</v>
      </c>
      <c r="E194" s="223">
        <v>6</v>
      </c>
      <c r="F194" s="224"/>
      <c r="G194" s="217">
        <f>IFERROR(F102/E102,"")</f>
        <v>2.6666666666666665</v>
      </c>
      <c r="H194" s="225"/>
    </row>
    <row r="195" spans="1:8" ht="21.75" customHeight="1">
      <c r="A195" s="270" t="s">
        <v>257</v>
      </c>
    </row>
    <row r="196" spans="1:8" ht="21.75" customHeight="1">
      <c r="A196" s="243"/>
      <c r="B196" s="203"/>
      <c r="C196" s="203"/>
      <c r="D196" s="203"/>
      <c r="E196" s="203"/>
      <c r="F196" s="203"/>
      <c r="G196" s="203"/>
      <c r="H196" s="209"/>
    </row>
    <row r="197" spans="1:8" ht="21.75" customHeight="1">
      <c r="A197" s="244"/>
      <c r="B197" s="203"/>
      <c r="C197" s="203"/>
      <c r="D197" s="203"/>
      <c r="E197" s="203"/>
      <c r="F197" s="203"/>
      <c r="G197" s="203"/>
      <c r="H197" s="209"/>
    </row>
    <row r="198" spans="1:8" ht="21.75" customHeight="1">
      <c r="A198" s="245"/>
      <c r="B198" s="203"/>
      <c r="C198" s="203"/>
      <c r="D198" s="203"/>
      <c r="E198" s="203"/>
      <c r="F198" s="203"/>
      <c r="G198" s="203"/>
      <c r="H198" s="209"/>
    </row>
    <row r="199" spans="1:8" ht="15" customHeight="1">
      <c r="A199" s="246"/>
      <c r="B199" s="203"/>
      <c r="C199" s="203"/>
      <c r="D199" s="203"/>
      <c r="E199" s="203"/>
      <c r="F199" s="203"/>
      <c r="G199" s="203"/>
      <c r="H199" s="209"/>
    </row>
    <row r="200" spans="1:8" ht="15" customHeight="1">
      <c r="A200" s="219"/>
      <c r="B200" s="203"/>
      <c r="C200" s="203"/>
      <c r="D200" s="203"/>
      <c r="E200" s="203"/>
      <c r="F200" s="203"/>
      <c r="G200" s="203"/>
      <c r="H200" s="209"/>
    </row>
    <row r="201" spans="1:8" ht="15" customHeight="1">
      <c r="A201" s="247"/>
      <c r="B201" s="203"/>
      <c r="C201" s="203"/>
      <c r="D201" s="203"/>
      <c r="E201" s="203"/>
      <c r="F201" s="203"/>
      <c r="G201" s="203"/>
      <c r="H201" s="209"/>
    </row>
    <row r="202" spans="1:8" ht="15" customHeight="1">
      <c r="A202" s="236"/>
      <c r="B202" s="203"/>
      <c r="C202" s="203"/>
      <c r="D202" s="203"/>
      <c r="E202" s="203"/>
      <c r="F202" s="203"/>
      <c r="G202" s="203"/>
      <c r="H202" s="209"/>
    </row>
    <row r="203" spans="1:8" ht="15" customHeight="1">
      <c r="A203" s="249" t="s">
        <v>251</v>
      </c>
      <c r="B203" s="203"/>
      <c r="C203" s="203"/>
      <c r="D203" s="203"/>
      <c r="E203" s="203"/>
      <c r="F203" s="203"/>
      <c r="G203" s="203"/>
      <c r="H203" s="203"/>
    </row>
    <row r="204" spans="1:8" ht="15" customHeight="1">
      <c r="A204" s="250"/>
      <c r="B204" s="203"/>
      <c r="C204" s="203"/>
      <c r="D204" s="203"/>
      <c r="E204" s="203"/>
      <c r="F204" s="203"/>
      <c r="G204" s="203"/>
      <c r="H204" s="209"/>
    </row>
    <row r="205" spans="1:8" ht="15" customHeight="1">
      <c r="A205" s="63"/>
      <c r="B205" s="203"/>
      <c r="C205" s="203"/>
      <c r="D205" s="203"/>
      <c r="E205" s="203"/>
      <c r="F205" s="203"/>
      <c r="G205" s="203"/>
      <c r="H205" s="209"/>
    </row>
    <row r="206" spans="1:8" ht="21.75" customHeight="1">
      <c r="A206" s="652"/>
      <c r="B206" s="652"/>
      <c r="C206" s="652"/>
      <c r="D206" s="652"/>
      <c r="E206" s="652"/>
      <c r="F206" s="652"/>
      <c r="G206" s="652"/>
      <c r="H206" s="652"/>
    </row>
    <row r="207" spans="1:8" ht="21.75" customHeight="1">
      <c r="A207" s="250"/>
      <c r="B207" s="203"/>
      <c r="C207" s="203"/>
      <c r="D207" s="203"/>
      <c r="E207" s="203"/>
      <c r="F207" s="203"/>
      <c r="G207" s="203"/>
      <c r="H207" s="209"/>
    </row>
    <row r="208" spans="1:8" ht="21.75" customHeight="1">
      <c r="A208" s="255"/>
      <c r="B208" s="203"/>
      <c r="C208" s="203"/>
      <c r="D208" s="203"/>
      <c r="E208" s="203"/>
      <c r="F208" s="203"/>
      <c r="G208" s="203"/>
      <c r="H208" s="209"/>
    </row>
    <row r="209" spans="1:8" ht="21.75" customHeight="1">
      <c r="A209" s="57"/>
      <c r="B209" s="203"/>
      <c r="C209" s="203"/>
      <c r="D209" s="203"/>
      <c r="E209" s="203"/>
      <c r="F209" s="203"/>
      <c r="G209" s="203"/>
      <c r="H209" s="209"/>
    </row>
    <row r="210" spans="1:8" ht="21.75" customHeight="1">
      <c r="A210" s="60"/>
      <c r="B210" s="203"/>
      <c r="C210" s="203"/>
      <c r="D210" s="203"/>
      <c r="E210" s="203"/>
      <c r="F210" s="203"/>
      <c r="G210" s="203"/>
      <c r="H210" s="209"/>
    </row>
    <row r="211" spans="1:8" ht="21.75" customHeight="1">
      <c r="A211" s="250"/>
      <c r="B211" s="203"/>
      <c r="C211" s="203"/>
      <c r="D211" s="203"/>
      <c r="E211" s="203"/>
      <c r="F211" s="203"/>
      <c r="G211" s="203"/>
      <c r="H211" s="209"/>
    </row>
    <row r="212" spans="1:8" ht="21.75" customHeight="1">
      <c r="A212" s="637"/>
      <c r="B212" s="637"/>
      <c r="C212" s="637"/>
      <c r="D212" s="637"/>
      <c r="E212" s="637"/>
      <c r="F212" s="637"/>
      <c r="G212" s="637"/>
      <c r="H212" s="637"/>
    </row>
    <row r="213" spans="1:8" ht="21.75" customHeight="1">
      <c r="A213" s="204" t="s">
        <v>263</v>
      </c>
      <c r="B213" s="203"/>
      <c r="C213" s="203"/>
      <c r="D213" s="203"/>
      <c r="E213" s="203"/>
      <c r="F213" s="203"/>
      <c r="G213" s="203"/>
      <c r="H213" s="203"/>
    </row>
    <row r="214" spans="1:8" ht="21.75" customHeight="1">
      <c r="A214" s="10"/>
      <c r="B214" s="203"/>
      <c r="C214" s="203"/>
      <c r="D214" s="203"/>
      <c r="E214" s="203"/>
      <c r="F214" s="203"/>
      <c r="G214" s="203"/>
      <c r="H214" s="209"/>
    </row>
    <row r="215" spans="1:8" ht="21.75" customHeight="1">
      <c r="A215" s="10"/>
      <c r="B215" s="203"/>
      <c r="C215" s="203"/>
      <c r="D215" s="203"/>
      <c r="E215" s="203"/>
      <c r="F215" s="203"/>
      <c r="G215" s="203"/>
      <c r="H215" s="209"/>
    </row>
    <row r="216" spans="1:8" ht="21.75" customHeight="1">
      <c r="A216" s="10"/>
      <c r="B216" s="203"/>
      <c r="C216" s="203"/>
      <c r="D216" s="203"/>
      <c r="E216" s="203"/>
      <c r="F216" s="203"/>
      <c r="G216" s="203"/>
      <c r="H216" s="209"/>
    </row>
    <row r="217" spans="1:8" ht="21.75" customHeight="1">
      <c r="A217" s="10"/>
      <c r="B217" s="203"/>
      <c r="C217" s="203"/>
      <c r="D217" s="203"/>
      <c r="E217" s="203"/>
      <c r="F217" s="203"/>
      <c r="G217" s="203"/>
      <c r="H217" s="209"/>
    </row>
    <row r="218" spans="1:8" ht="21.75" customHeight="1">
      <c r="A218" s="6"/>
      <c r="B218" s="203"/>
      <c r="C218" s="203"/>
      <c r="D218" s="203"/>
      <c r="E218" s="203"/>
      <c r="F218" s="203"/>
      <c r="G218" s="203"/>
      <c r="H218" s="209"/>
    </row>
    <row r="219" spans="1:8" ht="21.75" customHeight="1">
      <c r="A219" s="6"/>
      <c r="B219" s="205" t="s">
        <v>240</v>
      </c>
      <c r="C219" s="8" t="s">
        <v>18</v>
      </c>
      <c r="D219" s="8" t="s">
        <v>241</v>
      </c>
      <c r="E219" s="206">
        <v>10</v>
      </c>
      <c r="F219" s="271"/>
      <c r="G219" s="208">
        <f>IFERROR(F55/E55,"")</f>
        <v>0.43548387096774194</v>
      </c>
      <c r="H219" s="208" t="str">
        <f>IFERROR(F55/F41,"")</f>
        <v/>
      </c>
    </row>
    <row r="220" spans="1:8" ht="21.75" customHeight="1">
      <c r="A220" s="26"/>
      <c r="B220" s="203"/>
      <c r="C220" s="203"/>
      <c r="D220" s="203"/>
      <c r="E220" s="203"/>
      <c r="F220" s="203"/>
      <c r="G220" s="203"/>
      <c r="H220" s="209"/>
    </row>
    <row r="221" spans="1:8" ht="15" customHeight="1">
      <c r="A221" s="26"/>
      <c r="B221" s="203"/>
      <c r="C221" s="203"/>
      <c r="D221" s="203"/>
      <c r="E221" s="203"/>
      <c r="F221" s="203"/>
      <c r="G221" s="203"/>
      <c r="H221" s="209"/>
    </row>
    <row r="222" spans="1:8" ht="15" customHeight="1">
      <c r="A222" s="26"/>
      <c r="B222" s="203"/>
      <c r="C222" s="203"/>
      <c r="D222" s="203"/>
      <c r="E222" s="203"/>
      <c r="F222" s="203"/>
      <c r="G222" s="203"/>
      <c r="H222" s="209"/>
    </row>
    <row r="223" spans="1:8" ht="15" customHeight="1">
      <c r="A223" s="212"/>
      <c r="B223" s="203"/>
      <c r="C223" s="203"/>
      <c r="D223" s="203"/>
      <c r="E223" s="203"/>
      <c r="F223" s="203"/>
      <c r="G223" s="203"/>
      <c r="H223" s="209"/>
    </row>
    <row r="224" spans="1:8" ht="15" customHeight="1">
      <c r="A224" s="219"/>
      <c r="B224" s="203"/>
      <c r="C224" s="203"/>
      <c r="D224" s="203"/>
      <c r="E224" s="203"/>
      <c r="F224" s="203"/>
      <c r="G224" s="203"/>
      <c r="H224" s="209"/>
    </row>
    <row r="225" spans="1:8" ht="21.75" customHeight="1">
      <c r="A225" s="655"/>
      <c r="B225" s="655"/>
      <c r="C225" s="655"/>
      <c r="D225" s="655"/>
      <c r="E225" s="655"/>
      <c r="F225" s="655"/>
      <c r="G225" s="655"/>
      <c r="H225" s="655"/>
    </row>
    <row r="226" spans="1:8" ht="21.75" customHeight="1">
      <c r="A226" s="10"/>
      <c r="B226" s="203"/>
      <c r="C226" s="203"/>
      <c r="D226" s="203"/>
      <c r="E226" s="203"/>
      <c r="F226" s="203"/>
      <c r="G226" s="203"/>
      <c r="H226" s="209"/>
    </row>
    <row r="227" spans="1:8" ht="21.75" customHeight="1">
      <c r="A227" s="6"/>
      <c r="B227" s="203"/>
      <c r="C227" s="203"/>
      <c r="D227" s="203"/>
      <c r="E227" s="203"/>
      <c r="F227" s="203"/>
      <c r="G227" s="203"/>
      <c r="H227" s="209"/>
    </row>
    <row r="228" spans="1:8" ht="21.75" customHeight="1">
      <c r="A228" s="235" t="s">
        <v>251</v>
      </c>
      <c r="B228" s="203"/>
      <c r="C228" s="203"/>
      <c r="D228" s="203"/>
      <c r="E228" s="203"/>
      <c r="F228" s="203"/>
      <c r="G228" s="203"/>
      <c r="H228" s="203"/>
    </row>
    <row r="229" spans="1:8" ht="21.75" customHeight="1">
      <c r="A229" s="236"/>
      <c r="B229" s="203"/>
      <c r="C229" s="203"/>
      <c r="D229" s="203"/>
      <c r="E229" s="203"/>
      <c r="F229" s="203"/>
      <c r="G229" s="203"/>
      <c r="H229" s="209"/>
    </row>
    <row r="230" spans="1:8" ht="21.75" customHeight="1">
      <c r="A230" s="236"/>
      <c r="B230" s="203"/>
      <c r="C230" s="203"/>
      <c r="D230" s="203"/>
      <c r="E230" s="203"/>
      <c r="F230" s="203"/>
      <c r="G230" s="203"/>
      <c r="H230" s="209"/>
    </row>
    <row r="231" spans="1:8" ht="21.75" customHeight="1">
      <c r="A231" s="236"/>
      <c r="B231" s="203"/>
      <c r="C231" s="203"/>
      <c r="D231" s="203"/>
      <c r="E231" s="203"/>
      <c r="F231" s="203"/>
      <c r="G231" s="203"/>
      <c r="H231" s="209"/>
    </row>
    <row r="232" spans="1:8" ht="21.75" customHeight="1">
      <c r="A232" s="236"/>
      <c r="B232" s="203"/>
      <c r="C232" s="203"/>
      <c r="D232" s="203"/>
      <c r="E232" s="203"/>
      <c r="F232" s="203"/>
      <c r="G232" s="203"/>
      <c r="H232" s="209"/>
    </row>
    <row r="233" spans="1:8" ht="15" customHeight="1">
      <c r="A233" s="236"/>
      <c r="B233" s="203"/>
      <c r="C233" s="203"/>
      <c r="D233" s="203"/>
      <c r="E233" s="203"/>
      <c r="F233" s="203"/>
      <c r="G233" s="203"/>
      <c r="H233" s="209"/>
    </row>
    <row r="234" spans="1:8" ht="15" customHeight="1">
      <c r="A234" s="242" t="s">
        <v>257</v>
      </c>
      <c r="B234" s="203"/>
      <c r="C234" s="203"/>
      <c r="D234" s="203"/>
      <c r="E234" s="203"/>
      <c r="F234" s="203"/>
      <c r="G234" s="203"/>
      <c r="H234" s="203"/>
    </row>
    <row r="235" spans="1:8" ht="21.75" customHeight="1">
      <c r="A235" s="656"/>
      <c r="B235" s="656"/>
      <c r="C235" s="656"/>
      <c r="D235" s="656"/>
      <c r="E235" s="656"/>
      <c r="F235" s="656"/>
      <c r="G235" s="656"/>
      <c r="H235" s="656"/>
    </row>
    <row r="236" spans="1:8" ht="21.75" customHeight="1">
      <c r="A236" s="244"/>
      <c r="B236" s="257" t="s">
        <v>222</v>
      </c>
      <c r="C236" s="258" t="s">
        <v>221</v>
      </c>
      <c r="D236" s="258" t="s">
        <v>27</v>
      </c>
      <c r="E236" s="259">
        <v>280462</v>
      </c>
      <c r="F236" s="260"/>
      <c r="G236" s="217" t="str">
        <f>IFERROR(F79/E79,"")</f>
        <v/>
      </c>
      <c r="H236" s="225"/>
    </row>
    <row r="237" spans="1:8" ht="21.75" customHeight="1">
      <c r="A237" s="245"/>
      <c r="B237" s="203"/>
      <c r="C237" s="203"/>
      <c r="D237" s="203"/>
      <c r="E237" s="203"/>
      <c r="F237" s="203"/>
      <c r="G237" s="203"/>
      <c r="H237" s="209"/>
    </row>
    <row r="238" spans="1:8" ht="21.75" customHeight="1">
      <c r="A238" s="246"/>
      <c r="B238" s="203"/>
      <c r="C238" s="203"/>
      <c r="D238" s="203"/>
      <c r="E238" s="203"/>
      <c r="F238" s="203"/>
      <c r="G238" s="203"/>
      <c r="H238" s="209"/>
    </row>
    <row r="239" spans="1:8" ht="21.75" customHeight="1">
      <c r="A239" s="219"/>
      <c r="B239" s="203"/>
      <c r="C239" s="203"/>
      <c r="D239" s="203"/>
      <c r="E239" s="203"/>
      <c r="F239" s="203"/>
      <c r="G239" s="203"/>
      <c r="H239" s="209"/>
    </row>
    <row r="240" spans="1:8" ht="21.75" customHeight="1">
      <c r="A240" s="247"/>
      <c r="B240" s="203"/>
      <c r="C240" s="203"/>
      <c r="D240" s="203"/>
      <c r="E240" s="203"/>
      <c r="F240" s="203"/>
      <c r="G240" s="203"/>
      <c r="H240" s="209"/>
    </row>
    <row r="241" spans="1:8" ht="21.75" customHeight="1">
      <c r="A241" s="236"/>
      <c r="B241" s="203"/>
      <c r="C241" s="203"/>
      <c r="D241" s="203"/>
      <c r="E241" s="203"/>
      <c r="F241" s="203"/>
      <c r="G241" s="203"/>
      <c r="H241" s="209"/>
    </row>
    <row r="242" spans="1:8" ht="21.75" customHeight="1">
      <c r="A242" s="249" t="s">
        <v>251</v>
      </c>
      <c r="B242" s="203"/>
      <c r="C242" s="203"/>
      <c r="D242" s="203"/>
      <c r="E242" s="203"/>
      <c r="F242" s="203"/>
      <c r="G242" s="203"/>
      <c r="H242" s="203"/>
    </row>
    <row r="243" spans="1:8" ht="21.75" customHeight="1">
      <c r="A243" s="250"/>
      <c r="B243" s="203"/>
      <c r="C243" s="203"/>
      <c r="D243" s="203"/>
      <c r="E243" s="203"/>
      <c r="F243" s="203"/>
      <c r="G243" s="203"/>
      <c r="H243" s="209"/>
    </row>
    <row r="244" spans="1:8" ht="21.75" customHeight="1">
      <c r="A244" s="652"/>
      <c r="B244" s="652"/>
      <c r="C244" s="652"/>
      <c r="D244" s="652"/>
      <c r="E244" s="652"/>
      <c r="F244" s="652"/>
      <c r="G244" s="652"/>
      <c r="H244" s="652"/>
    </row>
    <row r="245" spans="1:8" ht="21.75" customHeight="1">
      <c r="A245" s="63"/>
      <c r="B245" s="203"/>
      <c r="C245" s="203"/>
      <c r="D245" s="203"/>
      <c r="E245" s="203"/>
      <c r="F245" s="203"/>
      <c r="G245" s="203"/>
      <c r="H245" s="209"/>
    </row>
    <row r="246" spans="1:8" ht="21.75" customHeight="1">
      <c r="A246" s="250"/>
      <c r="B246" s="203"/>
      <c r="C246" s="203"/>
      <c r="D246" s="203"/>
      <c r="E246" s="203"/>
      <c r="F246" s="203"/>
      <c r="G246" s="203"/>
      <c r="H246" s="209"/>
    </row>
    <row r="247" spans="1:8" ht="21.75" customHeight="1">
      <c r="A247" s="255"/>
      <c r="B247" s="203"/>
      <c r="C247" s="203"/>
      <c r="D247" s="203"/>
      <c r="E247" s="203"/>
      <c r="F247" s="203"/>
      <c r="G247" s="203"/>
      <c r="H247" s="209"/>
    </row>
    <row r="248" spans="1:8" ht="21.75" customHeight="1">
      <c r="A248" s="57"/>
      <c r="B248" s="203"/>
      <c r="C248" s="203"/>
      <c r="D248" s="203"/>
      <c r="E248" s="203"/>
      <c r="F248" s="203"/>
      <c r="G248" s="203"/>
      <c r="H248" s="209"/>
    </row>
    <row r="249" spans="1:8" ht="21.75" customHeight="1">
      <c r="A249" s="60"/>
      <c r="B249" s="203"/>
      <c r="C249" s="203"/>
      <c r="D249" s="203"/>
      <c r="E249" s="203"/>
      <c r="F249" s="203"/>
      <c r="G249" s="203"/>
      <c r="H249" s="209"/>
    </row>
    <row r="250" spans="1:8" ht="15" customHeight="1">
      <c r="A250" s="250"/>
      <c r="B250" s="272" t="s">
        <v>264</v>
      </c>
      <c r="C250" s="273" t="s">
        <v>253</v>
      </c>
      <c r="D250" s="274" t="s">
        <v>241</v>
      </c>
      <c r="E250" s="275">
        <v>9</v>
      </c>
      <c r="F250" s="240"/>
      <c r="G250" s="208">
        <f>IFERROR(F105/E105,"")</f>
        <v>1.0865881214163704</v>
      </c>
      <c r="H250" s="254"/>
    </row>
    <row r="251" spans="1:8" ht="15" customHeight="1"/>
    <row r="252" spans="1:8" ht="15" customHeight="1">
      <c r="A252" s="204" t="s">
        <v>265</v>
      </c>
      <c r="B252" s="203"/>
      <c r="C252" s="203"/>
      <c r="D252" s="203"/>
      <c r="E252" s="203"/>
      <c r="F252" s="203"/>
      <c r="G252" s="203"/>
      <c r="H252" s="203"/>
    </row>
    <row r="253" spans="1:8" ht="21.75" customHeight="1">
      <c r="A253" s="10"/>
      <c r="B253" s="203"/>
      <c r="C253" s="203"/>
      <c r="D253" s="203"/>
      <c r="E253" s="203"/>
      <c r="F253" s="203"/>
      <c r="G253" s="203"/>
      <c r="H253" s="209"/>
    </row>
    <row r="254" spans="1:8" ht="21.75" customHeight="1">
      <c r="A254" s="640"/>
      <c r="B254" s="640"/>
      <c r="C254" s="640"/>
      <c r="D254" s="640"/>
      <c r="E254" s="640"/>
      <c r="F254" s="640"/>
      <c r="G254" s="640"/>
      <c r="H254" s="640"/>
    </row>
    <row r="255" spans="1:8" ht="21.75" customHeight="1">
      <c r="A255" s="10"/>
      <c r="B255" s="203"/>
      <c r="C255" s="203"/>
      <c r="D255" s="203"/>
      <c r="E255" s="203"/>
      <c r="F255" s="203"/>
      <c r="G255" s="203"/>
      <c r="H255" s="209"/>
    </row>
    <row r="256" spans="1:8" ht="21.75" customHeight="1">
      <c r="A256" s="10"/>
      <c r="B256" s="203"/>
      <c r="C256" s="203"/>
      <c r="D256" s="203"/>
      <c r="E256" s="203"/>
      <c r="F256" s="203"/>
      <c r="G256" s="203"/>
      <c r="H256" s="209"/>
    </row>
    <row r="257" spans="1:8" ht="21.75" customHeight="1">
      <c r="A257" s="6"/>
      <c r="B257" s="203"/>
      <c r="C257" s="203"/>
      <c r="D257" s="203"/>
      <c r="E257" s="203"/>
      <c r="F257" s="203"/>
      <c r="G257" s="203"/>
      <c r="H257" s="209"/>
    </row>
    <row r="258" spans="1:8" ht="21.75" customHeight="1">
      <c r="A258" s="6"/>
      <c r="B258" s="203"/>
      <c r="C258" s="203"/>
      <c r="D258" s="203"/>
      <c r="E258" s="203"/>
      <c r="F258" s="203"/>
      <c r="G258" s="203"/>
      <c r="H258" s="209"/>
    </row>
    <row r="259" spans="1:8" ht="21.75" customHeight="1">
      <c r="A259" s="26"/>
      <c r="B259" s="203"/>
      <c r="C259" s="203"/>
      <c r="D259" s="203"/>
      <c r="E259" s="203"/>
      <c r="F259" s="203"/>
      <c r="G259" s="203"/>
      <c r="H259" s="209"/>
    </row>
    <row r="260" spans="1:8" ht="21.75" customHeight="1">
      <c r="A260" s="26"/>
      <c r="B260" s="203"/>
      <c r="C260" s="203"/>
      <c r="D260" s="203"/>
      <c r="E260" s="203"/>
      <c r="F260" s="203"/>
      <c r="G260" s="203"/>
      <c r="H260" s="209"/>
    </row>
    <row r="261" spans="1:8" ht="21.75" customHeight="1">
      <c r="A261" s="26"/>
      <c r="B261" s="203"/>
      <c r="C261" s="203"/>
      <c r="D261" s="203"/>
      <c r="E261" s="203"/>
      <c r="F261" s="203"/>
      <c r="G261" s="203"/>
      <c r="H261" s="209"/>
    </row>
    <row r="262" spans="1:8" ht="21.75" customHeight="1">
      <c r="A262" s="212"/>
      <c r="B262" s="203"/>
      <c r="C262" s="203"/>
      <c r="D262" s="203"/>
      <c r="E262" s="203"/>
      <c r="F262" s="203"/>
      <c r="G262" s="203"/>
      <c r="H262" s="209"/>
    </row>
    <row r="263" spans="1:8" ht="15" customHeight="1">
      <c r="A263" s="219"/>
      <c r="B263" s="203"/>
      <c r="C263" s="203"/>
      <c r="D263" s="203"/>
      <c r="E263" s="203"/>
      <c r="F263" s="203"/>
      <c r="G263" s="203"/>
      <c r="H263" s="209"/>
    </row>
    <row r="264" spans="1:8" ht="15" customHeight="1">
      <c r="A264" s="226"/>
      <c r="B264" s="203"/>
      <c r="C264" s="203"/>
      <c r="D264" s="203"/>
      <c r="E264" s="203"/>
      <c r="F264" s="203"/>
      <c r="G264" s="203"/>
      <c r="H264" s="209"/>
    </row>
    <row r="265" spans="1:8" ht="15" customHeight="1">
      <c r="A265" s="10"/>
      <c r="B265" s="203"/>
      <c r="C265" s="203"/>
      <c r="D265" s="203"/>
      <c r="E265" s="203"/>
      <c r="F265" s="203"/>
      <c r="G265" s="203"/>
      <c r="H265" s="209"/>
    </row>
    <row r="266" spans="1:8" ht="15" customHeight="1">
      <c r="A266" s="6"/>
      <c r="B266" s="203"/>
      <c r="C266" s="203"/>
      <c r="D266" s="203"/>
      <c r="E266" s="203"/>
      <c r="F266" s="203"/>
      <c r="G266" s="203"/>
      <c r="H266" s="209"/>
    </row>
    <row r="267" spans="1:8" ht="15" customHeight="1">
      <c r="A267" s="235" t="s">
        <v>251</v>
      </c>
      <c r="B267" s="203"/>
      <c r="C267" s="203"/>
      <c r="D267" s="203"/>
      <c r="E267" s="203"/>
      <c r="F267" s="203"/>
      <c r="G267" s="203"/>
      <c r="H267" s="203"/>
    </row>
    <row r="268" spans="1:8" ht="15" customHeight="1">
      <c r="A268" s="236"/>
      <c r="B268" s="256" t="s">
        <v>261</v>
      </c>
      <c r="C268" s="238" t="s">
        <v>253</v>
      </c>
      <c r="D268" s="239" t="s">
        <v>259</v>
      </c>
      <c r="E268" s="238" t="s">
        <v>72</v>
      </c>
      <c r="F268" s="276">
        <v>0</v>
      </c>
      <c r="G268" s="241"/>
      <c r="H268" s="241"/>
    </row>
    <row r="269" spans="1:8" ht="15" customHeight="1">
      <c r="A269" s="236"/>
      <c r="B269" s="203"/>
      <c r="C269" s="203"/>
      <c r="D269" s="203"/>
      <c r="E269" s="203"/>
      <c r="F269" s="203"/>
      <c r="G269" s="203"/>
      <c r="H269" s="209"/>
    </row>
    <row r="270" spans="1:8" ht="15" customHeight="1">
      <c r="A270" s="236"/>
      <c r="B270" s="203"/>
      <c r="C270" s="203"/>
      <c r="D270" s="203"/>
      <c r="E270" s="203"/>
      <c r="F270" s="203"/>
      <c r="G270" s="203"/>
      <c r="H270" s="209"/>
    </row>
    <row r="271" spans="1:8" ht="15" customHeight="1">
      <c r="A271" s="236"/>
      <c r="B271" s="203"/>
      <c r="C271" s="203"/>
      <c r="D271" s="203"/>
      <c r="E271" s="203"/>
      <c r="F271" s="203"/>
      <c r="G271" s="203"/>
      <c r="H271" s="209"/>
    </row>
    <row r="272" spans="1:8" ht="15" customHeight="1">
      <c r="A272" s="236"/>
      <c r="B272" s="277" t="s">
        <v>266</v>
      </c>
      <c r="C272" s="238" t="s">
        <v>253</v>
      </c>
      <c r="D272" s="239" t="s">
        <v>241</v>
      </c>
      <c r="E272" s="238" t="s">
        <v>72</v>
      </c>
      <c r="F272" s="276">
        <v>9</v>
      </c>
      <c r="G272" s="241"/>
      <c r="H272" s="241"/>
    </row>
    <row r="273" spans="1:8" ht="15" customHeight="1">
      <c r="A273" s="270" t="s">
        <v>257</v>
      </c>
    </row>
    <row r="274" spans="1:8" ht="15" customHeight="1">
      <c r="A274" s="243"/>
      <c r="B274" s="203"/>
      <c r="C274" s="203"/>
      <c r="D274" s="203"/>
      <c r="E274" s="203"/>
      <c r="F274" s="203"/>
      <c r="G274" s="203"/>
      <c r="H274" s="209"/>
    </row>
    <row r="275" spans="1:8" ht="15" customHeight="1">
      <c r="A275" s="244"/>
      <c r="B275" s="203"/>
      <c r="C275" s="203"/>
      <c r="D275" s="203"/>
      <c r="E275" s="203"/>
      <c r="F275" s="203"/>
      <c r="G275" s="203"/>
      <c r="H275" s="209"/>
    </row>
    <row r="276" spans="1:8" ht="21.75" customHeight="1">
      <c r="A276" s="657"/>
      <c r="B276" s="657"/>
      <c r="C276" s="657"/>
      <c r="D276" s="657"/>
      <c r="E276" s="657"/>
      <c r="F276" s="657"/>
      <c r="G276" s="657"/>
      <c r="H276" s="657"/>
    </row>
    <row r="277" spans="1:8" ht="21.75" customHeight="1">
      <c r="A277" s="645"/>
      <c r="B277" s="645"/>
      <c r="C277" s="645"/>
      <c r="D277" s="645"/>
      <c r="E277" s="645"/>
      <c r="F277" s="645"/>
      <c r="G277" s="645"/>
      <c r="H277" s="645"/>
    </row>
    <row r="278" spans="1:8" ht="21.75" customHeight="1">
      <c r="A278" s="219"/>
      <c r="B278" s="203"/>
      <c r="C278" s="203"/>
      <c r="D278" s="203"/>
      <c r="E278" s="203"/>
      <c r="F278" s="203"/>
      <c r="G278" s="203"/>
      <c r="H278" s="209"/>
    </row>
    <row r="279" spans="1:8" ht="21.75" customHeight="1">
      <c r="A279" s="247"/>
      <c r="B279" s="203"/>
      <c r="C279" s="203"/>
      <c r="D279" s="203"/>
      <c r="E279" s="203"/>
      <c r="F279" s="203"/>
      <c r="G279" s="203"/>
      <c r="H279" s="209"/>
    </row>
    <row r="280" spans="1:8" ht="21.75" customHeight="1">
      <c r="A280" s="236"/>
      <c r="B280" s="203"/>
      <c r="C280" s="203"/>
      <c r="D280" s="203"/>
      <c r="E280" s="203"/>
      <c r="F280" s="203"/>
      <c r="G280" s="203"/>
      <c r="H280" s="209"/>
    </row>
    <row r="281" spans="1:8" ht="21.75" customHeight="1">
      <c r="A281" s="249" t="s">
        <v>251</v>
      </c>
      <c r="B281" s="203"/>
      <c r="C281" s="203"/>
      <c r="D281" s="203"/>
      <c r="E281" s="203"/>
      <c r="F281" s="203"/>
      <c r="G281" s="203"/>
      <c r="H281" s="203"/>
    </row>
    <row r="282" spans="1:8" ht="21.75" customHeight="1">
      <c r="A282" s="250"/>
      <c r="B282" s="203"/>
      <c r="C282" s="203"/>
      <c r="D282" s="203"/>
      <c r="E282" s="203"/>
      <c r="F282" s="203"/>
      <c r="G282" s="203"/>
      <c r="H282" s="209"/>
    </row>
    <row r="283" spans="1:8" ht="21.75" customHeight="1">
      <c r="A283" s="63"/>
      <c r="B283" s="252" t="s">
        <v>258</v>
      </c>
      <c r="C283" s="44" t="s">
        <v>253</v>
      </c>
      <c r="D283" s="28" t="s">
        <v>259</v>
      </c>
      <c r="E283" s="253">
        <v>62000</v>
      </c>
      <c r="F283" s="240"/>
      <c r="G283" s="208" t="str">
        <f>IFERROR(F122/E122,"")</f>
        <v/>
      </c>
      <c r="H283" s="254"/>
    </row>
    <row r="284" spans="1:8" ht="21.75" customHeight="1">
      <c r="A284" s="63"/>
      <c r="B284" s="203"/>
      <c r="C284" s="203"/>
      <c r="D284" s="203"/>
      <c r="E284" s="203"/>
      <c r="F284" s="203"/>
      <c r="G284" s="203"/>
      <c r="H284" s="209"/>
    </row>
    <row r="285" spans="1:8" ht="21.75" customHeight="1">
      <c r="A285" s="250"/>
      <c r="B285" s="278" t="s">
        <v>267</v>
      </c>
      <c r="C285" s="273" t="s">
        <v>253</v>
      </c>
      <c r="D285" s="274" t="s">
        <v>241</v>
      </c>
      <c r="E285" s="279">
        <v>1150</v>
      </c>
      <c r="F285" s="240"/>
      <c r="G285" s="208" t="str">
        <f>IFERROR(F124/E124,"")</f>
        <v/>
      </c>
      <c r="H285" s="254"/>
    </row>
    <row r="286" spans="1:8" ht="15" customHeight="1">
      <c r="A286" s="255"/>
      <c r="B286" s="203"/>
      <c r="C286" s="203"/>
      <c r="D286" s="203"/>
      <c r="E286" s="203"/>
      <c r="F286" s="203"/>
      <c r="G286" s="203"/>
      <c r="H286" s="209"/>
    </row>
    <row r="287" spans="1:8" ht="15" customHeight="1">
      <c r="A287" s="57"/>
      <c r="B287" s="267" t="s">
        <v>268</v>
      </c>
      <c r="C287" s="280" t="s">
        <v>253</v>
      </c>
      <c r="D287" s="20" t="s">
        <v>241</v>
      </c>
      <c r="E287" s="269">
        <v>620</v>
      </c>
      <c r="F287" s="240"/>
      <c r="G287" s="208" t="str">
        <f>IFERROR(F126/E126,"")</f>
        <v/>
      </c>
      <c r="H287" s="254"/>
    </row>
    <row r="288" spans="1:8" ht="15" customHeight="1">
      <c r="A288" s="60"/>
      <c r="B288" s="281" t="s">
        <v>269</v>
      </c>
      <c r="C288" s="282" t="s">
        <v>253</v>
      </c>
      <c r="D288" s="24" t="s">
        <v>241</v>
      </c>
      <c r="E288" s="283">
        <v>38</v>
      </c>
      <c r="F288" s="240"/>
      <c r="G288" s="208">
        <f>IFERROR(F127/E127,"")</f>
        <v>0</v>
      </c>
      <c r="H288" s="254"/>
    </row>
    <row r="289" spans="1:8" ht="15" customHeight="1">
      <c r="A289" s="250"/>
      <c r="B289" s="272" t="s">
        <v>264</v>
      </c>
      <c r="C289" s="273" t="s">
        <v>253</v>
      </c>
      <c r="D289" s="274" t="s">
        <v>241</v>
      </c>
      <c r="E289" s="275">
        <v>8</v>
      </c>
      <c r="F289" s="240"/>
      <c r="G289" s="208" t="str">
        <f>IFERROR(F128/E128,"")</f>
        <v/>
      </c>
      <c r="H289" s="254"/>
    </row>
    <row r="290" spans="1:8" ht="15" customHeight="1"/>
    <row r="291" spans="1:8" ht="15" customHeight="1">
      <c r="A291" s="204" t="s">
        <v>270</v>
      </c>
      <c r="B291" s="203"/>
      <c r="C291" s="203"/>
      <c r="D291" s="203"/>
      <c r="E291" s="203"/>
      <c r="F291" s="203"/>
      <c r="G291" s="203"/>
      <c r="H291" s="203"/>
    </row>
    <row r="292" spans="1:8" ht="15" customHeight="1">
      <c r="A292" s="10"/>
      <c r="B292" s="231" t="s">
        <v>271</v>
      </c>
      <c r="C292" s="12" t="s">
        <v>20</v>
      </c>
      <c r="D292" s="35" t="s">
        <v>272</v>
      </c>
      <c r="E292" s="232">
        <v>3400</v>
      </c>
      <c r="F292" s="271"/>
      <c r="G292" s="208" t="str">
        <f>IFERROR(F80/E80,"")</f>
        <v/>
      </c>
      <c r="H292" s="208" t="str">
        <f>IFERROR(F80/F66,"")</f>
        <v/>
      </c>
    </row>
    <row r="293" spans="1:8" ht="15" customHeight="1">
      <c r="A293" s="10"/>
      <c r="B293" s="203"/>
      <c r="C293" s="203"/>
      <c r="D293" s="203"/>
      <c r="E293" s="203"/>
      <c r="F293" s="203"/>
      <c r="G293" s="203"/>
      <c r="H293" s="209"/>
    </row>
    <row r="294" spans="1:8" ht="114.75" customHeight="1">
      <c r="A294" s="10"/>
      <c r="B294" s="203"/>
      <c r="C294" s="203"/>
      <c r="D294" s="203"/>
      <c r="E294" s="203"/>
      <c r="F294" s="203"/>
      <c r="G294" s="203"/>
      <c r="H294" s="209"/>
    </row>
    <row r="295" spans="1:8" ht="15" customHeight="1">
      <c r="A295" s="10"/>
      <c r="B295" s="203"/>
      <c r="C295" s="203"/>
      <c r="D295" s="203"/>
      <c r="E295" s="203"/>
      <c r="F295" s="203"/>
      <c r="G295" s="203"/>
      <c r="H295" s="209"/>
    </row>
    <row r="296" spans="1:8" ht="15" customHeight="1">
      <c r="A296" s="6"/>
      <c r="B296" s="203"/>
      <c r="C296" s="203"/>
      <c r="D296" s="203"/>
      <c r="E296" s="203"/>
      <c r="F296" s="203"/>
      <c r="G296" s="203"/>
      <c r="H296" s="209"/>
    </row>
    <row r="297" spans="1:8" ht="15" customHeight="1">
      <c r="A297" s="6"/>
      <c r="B297" s="203"/>
      <c r="C297" s="203"/>
      <c r="D297" s="203"/>
      <c r="E297" s="203"/>
      <c r="F297" s="203"/>
      <c r="G297" s="203"/>
      <c r="H297" s="209"/>
    </row>
    <row r="298" spans="1:8" ht="15" customHeight="1">
      <c r="A298" s="26"/>
      <c r="B298" s="210" t="s">
        <v>273</v>
      </c>
      <c r="C298" s="28" t="s">
        <v>24</v>
      </c>
      <c r="D298" s="28" t="s">
        <v>241</v>
      </c>
      <c r="E298" s="211">
        <v>20</v>
      </c>
      <c r="F298" s="271"/>
      <c r="G298" s="208" t="str">
        <f>IFERROR(F86/E86,"")</f>
        <v/>
      </c>
      <c r="H298" s="208" t="str">
        <f>IFERROR(F86/F72,"")</f>
        <v/>
      </c>
    </row>
    <row r="299" spans="1:8" ht="15" customHeight="1">
      <c r="A299" s="26"/>
      <c r="B299" s="203"/>
      <c r="C299" s="203"/>
      <c r="D299" s="203"/>
      <c r="E299" s="203"/>
      <c r="F299" s="203"/>
      <c r="G299" s="203"/>
      <c r="H299" s="209"/>
    </row>
    <row r="300" spans="1:8" ht="15" customHeight="1">
      <c r="A300" s="26"/>
      <c r="B300" s="203"/>
      <c r="C300" s="203"/>
      <c r="D300" s="203"/>
      <c r="E300" s="203"/>
      <c r="F300" s="203"/>
      <c r="G300" s="203"/>
      <c r="H300" s="209"/>
    </row>
    <row r="301" spans="1:8" ht="15" customHeight="1">
      <c r="A301" s="26"/>
      <c r="B301" s="203"/>
      <c r="C301" s="203"/>
      <c r="D301" s="203"/>
      <c r="E301" s="203"/>
      <c r="F301" s="203"/>
      <c r="G301" s="203"/>
      <c r="H301" s="209"/>
    </row>
    <row r="302" spans="1:8" ht="15" customHeight="1">
      <c r="A302" s="226"/>
      <c r="B302" s="203"/>
      <c r="C302" s="203"/>
      <c r="D302" s="203"/>
      <c r="E302" s="203"/>
      <c r="F302" s="203"/>
      <c r="G302" s="203"/>
      <c r="H302" s="209"/>
    </row>
    <row r="303" spans="1:8" ht="15" customHeight="1">
      <c r="A303" s="10"/>
      <c r="B303" s="203"/>
      <c r="C303" s="203"/>
      <c r="D303" s="203"/>
      <c r="E303" s="203"/>
      <c r="F303" s="203"/>
      <c r="G303" s="203"/>
      <c r="H303" s="209"/>
    </row>
    <row r="304" spans="1:8" ht="15" customHeight="1">
      <c r="A304" s="6"/>
      <c r="B304" s="203"/>
      <c r="C304" s="203"/>
      <c r="D304" s="203"/>
      <c r="E304" s="203"/>
      <c r="F304" s="203"/>
      <c r="G304" s="203"/>
      <c r="H304" s="209"/>
    </row>
    <row r="305" spans="1:8" ht="15" customHeight="1">
      <c r="A305" s="284" t="s">
        <v>251</v>
      </c>
    </row>
    <row r="306" spans="1:8" ht="15" customHeight="1">
      <c r="A306" s="236"/>
      <c r="B306" s="256" t="s">
        <v>261</v>
      </c>
      <c r="C306" s="238" t="s">
        <v>253</v>
      </c>
      <c r="D306" s="239" t="s">
        <v>259</v>
      </c>
      <c r="E306" s="238" t="s">
        <v>72</v>
      </c>
      <c r="F306" s="276">
        <v>0</v>
      </c>
      <c r="G306" s="241"/>
      <c r="H306" s="241"/>
    </row>
    <row r="307" spans="1:8" ht="15" customHeight="1">
      <c r="A307" s="236"/>
      <c r="B307" s="203"/>
      <c r="C307" s="203"/>
      <c r="D307" s="203"/>
      <c r="E307" s="203"/>
      <c r="F307" s="203"/>
      <c r="G307" s="203"/>
      <c r="H307" s="209"/>
    </row>
    <row r="308" spans="1:8" ht="21.75" customHeight="1">
      <c r="A308" s="643"/>
      <c r="B308" s="643"/>
      <c r="C308" s="643"/>
      <c r="D308" s="643"/>
      <c r="E308" s="643"/>
      <c r="F308" s="643"/>
      <c r="G308" s="643"/>
      <c r="H308" s="643"/>
    </row>
    <row r="309" spans="1:8" ht="21.75" customHeight="1">
      <c r="A309" s="236"/>
      <c r="B309" s="237" t="s">
        <v>256</v>
      </c>
      <c r="C309" s="238" t="s">
        <v>253</v>
      </c>
      <c r="D309" s="239" t="s">
        <v>241</v>
      </c>
      <c r="E309" s="238" t="s">
        <v>72</v>
      </c>
      <c r="F309" s="276">
        <v>9</v>
      </c>
      <c r="G309" s="241"/>
      <c r="H309" s="241"/>
    </row>
    <row r="310" spans="1:8" ht="21.75" customHeight="1">
      <c r="A310" s="212"/>
      <c r="B310" s="213" t="s">
        <v>244</v>
      </c>
      <c r="C310" s="214" t="s">
        <v>245</v>
      </c>
      <c r="D310" s="214" t="s">
        <v>241</v>
      </c>
      <c r="E310" s="215">
        <v>15</v>
      </c>
      <c r="F310" s="215">
        <v>5</v>
      </c>
      <c r="G310" s="217" t="str">
        <f>IFERROR(F215/E215,"")</f>
        <v/>
      </c>
      <c r="H310" s="225"/>
    </row>
    <row r="311" spans="1:8" ht="21.75" customHeight="1">
      <c r="A311" s="219"/>
      <c r="B311" s="220" t="s">
        <v>246</v>
      </c>
      <c r="C311" s="221" t="s">
        <v>21</v>
      </c>
      <c r="D311" s="222" t="s">
        <v>241</v>
      </c>
      <c r="E311" s="223">
        <v>4</v>
      </c>
      <c r="F311" s="224"/>
      <c r="G311" s="217" t="str">
        <f>IFERROR(F216/E216,"")</f>
        <v/>
      </c>
      <c r="H311" s="225"/>
    </row>
    <row r="312" spans="1:8" ht="21.75" customHeight="1">
      <c r="A312" s="270" t="s">
        <v>257</v>
      </c>
      <c r="B312" s="203"/>
      <c r="C312" s="203"/>
      <c r="D312" s="203"/>
      <c r="E312" s="203"/>
      <c r="F312" s="203"/>
      <c r="G312" s="203"/>
      <c r="H312" s="209"/>
    </row>
    <row r="313" spans="1:8" ht="21.75" customHeight="1">
      <c r="A313" s="243"/>
      <c r="B313" s="285" t="s">
        <v>274</v>
      </c>
      <c r="C313" s="286" t="s">
        <v>221</v>
      </c>
      <c r="D313" s="286" t="s">
        <v>27</v>
      </c>
      <c r="E313" s="287">
        <v>1564752</v>
      </c>
      <c r="F313" s="260"/>
      <c r="G313" s="217" t="str">
        <f>IFERROR(F116/E116,"")</f>
        <v/>
      </c>
      <c r="H313" s="225"/>
    </row>
    <row r="314" spans="1:8" ht="15" customHeight="1">
      <c r="A314" s="244"/>
      <c r="B314" s="203"/>
      <c r="C314" s="203"/>
      <c r="D314" s="203"/>
      <c r="E314" s="203"/>
      <c r="F314" s="203"/>
      <c r="G314" s="203"/>
      <c r="H314" s="209"/>
    </row>
    <row r="315" spans="1:8" ht="15" customHeight="1">
      <c r="A315" s="245"/>
      <c r="B315" s="203"/>
      <c r="C315" s="203"/>
      <c r="D315" s="203"/>
      <c r="E315" s="203"/>
      <c r="F315" s="203"/>
      <c r="G315" s="203"/>
      <c r="H315" s="209"/>
    </row>
    <row r="316" spans="1:8" ht="15" customHeight="1">
      <c r="A316" s="246"/>
      <c r="B316" s="203"/>
      <c r="C316" s="203"/>
      <c r="D316" s="203"/>
      <c r="E316" s="203"/>
      <c r="F316" s="203"/>
      <c r="G316" s="203"/>
      <c r="H316" s="209"/>
    </row>
    <row r="317" spans="1:8" ht="15" customHeight="1">
      <c r="A317" s="219"/>
      <c r="B317" s="203"/>
      <c r="C317" s="203"/>
      <c r="D317" s="203"/>
      <c r="E317" s="203"/>
      <c r="F317" s="203"/>
      <c r="G317" s="203"/>
      <c r="H317" s="209"/>
    </row>
    <row r="318" spans="1:8" ht="15" customHeight="1">
      <c r="A318" s="247"/>
      <c r="B318" s="281" t="s">
        <v>225</v>
      </c>
      <c r="C318" s="288" t="s">
        <v>221</v>
      </c>
      <c r="D318" s="288" t="s">
        <v>27</v>
      </c>
      <c r="E318" s="283">
        <v>500000</v>
      </c>
      <c r="F318" s="260"/>
      <c r="G318" s="217" t="str">
        <f>IFERROR(F121/E121,"")</f>
        <v/>
      </c>
      <c r="H318" s="225"/>
    </row>
    <row r="319" spans="1:8" ht="15" customHeight="1">
      <c r="A319" s="236"/>
      <c r="B319" s="252" t="s">
        <v>226</v>
      </c>
      <c r="C319" s="239" t="s">
        <v>221</v>
      </c>
      <c r="D319" s="239" t="s">
        <v>27</v>
      </c>
      <c r="E319" s="253">
        <v>112050</v>
      </c>
      <c r="F319" s="260"/>
      <c r="G319" s="217" t="str">
        <f>IFERROR(F122/E122,"")</f>
        <v/>
      </c>
      <c r="H319" s="225"/>
    </row>
    <row r="320" spans="1:8" ht="21.75" customHeight="1">
      <c r="A320" s="289" t="s">
        <v>251</v>
      </c>
    </row>
    <row r="321" spans="1:8" ht="21.75" customHeight="1">
      <c r="A321" s="250"/>
      <c r="B321" s="203"/>
      <c r="C321" s="203"/>
      <c r="D321" s="203"/>
      <c r="E321" s="203"/>
      <c r="F321" s="203"/>
      <c r="G321" s="203"/>
      <c r="H321" s="209"/>
    </row>
    <row r="322" spans="1:8" ht="15" customHeight="1">
      <c r="A322" s="63"/>
      <c r="B322" s="203"/>
      <c r="C322" s="203"/>
      <c r="D322" s="203"/>
      <c r="E322" s="203"/>
      <c r="F322" s="203"/>
      <c r="G322" s="203"/>
      <c r="H322" s="209"/>
    </row>
    <row r="323" spans="1:8" ht="15" customHeight="1">
      <c r="A323" s="63"/>
      <c r="B323" s="203"/>
      <c r="C323" s="203"/>
      <c r="D323" s="203"/>
      <c r="E323" s="203"/>
      <c r="F323" s="203"/>
      <c r="G323" s="203"/>
      <c r="H323" s="209"/>
    </row>
    <row r="324" spans="1:8" ht="15" customHeight="1">
      <c r="A324" s="250"/>
      <c r="B324" s="203"/>
      <c r="C324" s="203"/>
      <c r="D324" s="203"/>
      <c r="E324" s="203"/>
      <c r="F324" s="203"/>
      <c r="G324" s="203"/>
      <c r="H324" s="209"/>
    </row>
    <row r="325" spans="1:8" ht="15" customHeight="1">
      <c r="A325" s="255"/>
      <c r="B325" s="203"/>
      <c r="C325" s="203"/>
      <c r="D325" s="203"/>
      <c r="E325" s="203"/>
      <c r="F325" s="203"/>
      <c r="G325" s="203"/>
      <c r="H325" s="209"/>
    </row>
    <row r="326" spans="1:8" ht="114.75" customHeight="1">
      <c r="A326" s="57"/>
      <c r="B326" s="203"/>
      <c r="C326" s="203"/>
      <c r="D326" s="203"/>
      <c r="E326" s="203"/>
      <c r="F326" s="203"/>
      <c r="G326" s="203"/>
      <c r="H326" s="209"/>
    </row>
    <row r="327" spans="1:8" ht="15" customHeight="1">
      <c r="A327" s="60"/>
      <c r="B327" s="281" t="s">
        <v>269</v>
      </c>
      <c r="C327" s="282" t="s">
        <v>253</v>
      </c>
      <c r="D327" s="24" t="s">
        <v>241</v>
      </c>
      <c r="E327" s="283">
        <v>45</v>
      </c>
      <c r="F327" s="240"/>
      <c r="G327" s="208" t="str">
        <f>IFERROR(F150/E150,"")</f>
        <v/>
      </c>
      <c r="H327" s="254"/>
    </row>
    <row r="328" spans="1:8" ht="15" customHeight="1">
      <c r="A328" s="250"/>
      <c r="B328" s="272" t="s">
        <v>264</v>
      </c>
      <c r="C328" s="273" t="s">
        <v>253</v>
      </c>
      <c r="D328" s="274" t="s">
        <v>241</v>
      </c>
      <c r="E328" s="275">
        <v>10</v>
      </c>
      <c r="F328" s="240"/>
      <c r="G328" s="208" t="str">
        <f>IFERROR(F151/E151,"")</f>
        <v/>
      </c>
      <c r="H328" s="254"/>
    </row>
    <row r="329" spans="1:8" ht="15" customHeight="1"/>
    <row r="330" spans="1:8" ht="15" customHeight="1">
      <c r="A330" s="204" t="s">
        <v>275</v>
      </c>
      <c r="B330" s="203"/>
      <c r="C330" s="203"/>
      <c r="D330" s="203"/>
      <c r="E330" s="203"/>
      <c r="F330" s="203"/>
      <c r="G330" s="203"/>
      <c r="H330" s="203"/>
    </row>
    <row r="331" spans="1:8" ht="15" customHeight="1">
      <c r="A331" s="10"/>
      <c r="B331" s="203"/>
      <c r="C331" s="203"/>
      <c r="D331" s="203"/>
      <c r="E331" s="203"/>
      <c r="F331" s="203"/>
      <c r="G331" s="203"/>
      <c r="H331" s="209"/>
    </row>
    <row r="332" spans="1:8" ht="15" customHeight="1">
      <c r="A332" s="10"/>
      <c r="B332" s="231" t="s">
        <v>276</v>
      </c>
      <c r="C332" s="12" t="s">
        <v>20</v>
      </c>
      <c r="D332" s="12" t="s">
        <v>254</v>
      </c>
      <c r="E332" s="232">
        <v>210</v>
      </c>
      <c r="F332" s="271"/>
      <c r="G332" s="208" t="str">
        <f>IFERROR(F96/E96,"")</f>
        <v/>
      </c>
      <c r="H332" s="208" t="str">
        <f>IFERROR(F96/F82,"")</f>
        <v/>
      </c>
    </row>
    <row r="333" spans="1:8" ht="15" customHeight="1">
      <c r="A333" s="10"/>
      <c r="B333" s="203"/>
      <c r="C333" s="203"/>
      <c r="D333" s="203"/>
      <c r="E333" s="203"/>
      <c r="F333" s="203"/>
      <c r="G333" s="203"/>
      <c r="H333" s="209"/>
    </row>
    <row r="334" spans="1:8" ht="15" customHeight="1">
      <c r="A334" s="10"/>
      <c r="B334" s="203"/>
      <c r="C334" s="203"/>
      <c r="D334" s="203"/>
      <c r="E334" s="203"/>
      <c r="F334" s="203"/>
      <c r="G334" s="203"/>
      <c r="H334" s="209"/>
    </row>
    <row r="335" spans="1:8" ht="15" customHeight="1">
      <c r="A335" s="6"/>
      <c r="B335" s="203"/>
      <c r="C335" s="203"/>
      <c r="D335" s="203"/>
      <c r="E335" s="203"/>
      <c r="F335" s="203"/>
      <c r="G335" s="203"/>
      <c r="H335" s="209"/>
    </row>
    <row r="336" spans="1:8" ht="21.75" customHeight="1">
      <c r="A336" s="648"/>
      <c r="B336" s="648"/>
      <c r="C336" s="648"/>
      <c r="D336" s="648"/>
      <c r="E336" s="648"/>
      <c r="F336" s="648"/>
      <c r="G336" s="648"/>
      <c r="H336" s="648"/>
    </row>
    <row r="337" spans="1:8" ht="21.75" customHeight="1">
      <c r="A337" s="26"/>
      <c r="B337" s="210" t="s">
        <v>273</v>
      </c>
      <c r="C337" s="28" t="s">
        <v>24</v>
      </c>
      <c r="D337" s="28" t="s">
        <v>241</v>
      </c>
      <c r="E337" s="211">
        <v>20</v>
      </c>
      <c r="F337" s="271"/>
      <c r="G337" s="208">
        <f>IFERROR(F101/E101,"")</f>
        <v>2.6666666666666665</v>
      </c>
      <c r="H337" s="208" t="str">
        <f>IFERROR(F101/F87,"")</f>
        <v/>
      </c>
    </row>
    <row r="338" spans="1:8" ht="21.75" customHeight="1">
      <c r="A338" s="26"/>
      <c r="B338" s="203"/>
      <c r="C338" s="203"/>
      <c r="D338" s="203"/>
      <c r="E338" s="203"/>
      <c r="F338" s="203"/>
      <c r="G338" s="203"/>
      <c r="H338" s="209"/>
    </row>
    <row r="339" spans="1:8" ht="21.75" customHeight="1">
      <c r="A339" s="26"/>
      <c r="B339" s="203"/>
      <c r="C339" s="203"/>
      <c r="D339" s="203"/>
      <c r="E339" s="203"/>
      <c r="F339" s="203"/>
      <c r="G339" s="203"/>
      <c r="H339" s="209"/>
    </row>
    <row r="340" spans="1:8" ht="21.75" customHeight="1">
      <c r="A340" s="26"/>
      <c r="B340" s="203"/>
      <c r="C340" s="203"/>
      <c r="D340" s="203"/>
      <c r="E340" s="203"/>
      <c r="F340" s="203"/>
      <c r="G340" s="203"/>
      <c r="H340" s="209"/>
    </row>
    <row r="341" spans="1:8" ht="21.75" customHeight="1">
      <c r="A341" s="226"/>
      <c r="B341" s="203"/>
      <c r="C341" s="203"/>
      <c r="D341" s="203"/>
      <c r="E341" s="203"/>
      <c r="F341" s="203"/>
      <c r="G341" s="203"/>
      <c r="H341" s="209"/>
    </row>
    <row r="342" spans="1:8" ht="15" customHeight="1">
      <c r="A342" s="10"/>
      <c r="B342" s="231" t="s">
        <v>249</v>
      </c>
      <c r="C342" s="12" t="s">
        <v>248</v>
      </c>
      <c r="D342" s="12" t="s">
        <v>27</v>
      </c>
      <c r="E342" s="232">
        <v>1423250</v>
      </c>
      <c r="F342" s="271"/>
      <c r="G342" s="208">
        <f>IFERROR(F106/E106,"")</f>
        <v>1.2579782790309106</v>
      </c>
      <c r="H342" s="208" t="str">
        <f>IFERROR(F106/F92,"")</f>
        <v/>
      </c>
    </row>
    <row r="343" spans="1:8" ht="15" customHeight="1">
      <c r="A343" s="6"/>
      <c r="B343" s="203"/>
      <c r="C343" s="203"/>
      <c r="D343" s="203"/>
      <c r="E343" s="203"/>
      <c r="F343" s="203"/>
      <c r="G343" s="203"/>
      <c r="H343" s="209"/>
    </row>
    <row r="344" spans="1:8" ht="15" customHeight="1">
      <c r="A344" s="235" t="s">
        <v>251</v>
      </c>
      <c r="B344" s="203"/>
      <c r="C344" s="203"/>
      <c r="D344" s="203"/>
      <c r="E344" s="203"/>
      <c r="F344" s="203"/>
      <c r="G344" s="203"/>
      <c r="H344" s="203"/>
    </row>
    <row r="345" spans="1:8" ht="15" customHeight="1">
      <c r="A345" s="236"/>
      <c r="B345" s="203"/>
      <c r="C345" s="203"/>
      <c r="D345" s="203"/>
      <c r="E345" s="203"/>
      <c r="F345" s="203"/>
      <c r="G345" s="203"/>
      <c r="H345" s="209"/>
    </row>
    <row r="346" spans="1:8" ht="15" customHeight="1">
      <c r="A346" s="236"/>
      <c r="B346" s="237" t="s">
        <v>252</v>
      </c>
      <c r="C346" s="238" t="s">
        <v>253</v>
      </c>
      <c r="D346" s="239" t="s">
        <v>254</v>
      </c>
      <c r="E346" s="238" t="s">
        <v>72</v>
      </c>
      <c r="F346" s="276">
        <v>109</v>
      </c>
      <c r="G346" s="241"/>
      <c r="H346" s="241"/>
    </row>
    <row r="347" spans="1:8" ht="15" customHeight="1">
      <c r="A347" s="236"/>
      <c r="B347" s="237" t="s">
        <v>255</v>
      </c>
      <c r="C347" s="238" t="s">
        <v>253</v>
      </c>
      <c r="D347" s="238" t="s">
        <v>35</v>
      </c>
      <c r="E347" s="238" t="s">
        <v>72</v>
      </c>
      <c r="F347" s="290">
        <v>7.5999999999999998E-2</v>
      </c>
      <c r="G347" s="241"/>
      <c r="H347" s="241"/>
    </row>
    <row r="348" spans="1:8" ht="15" customHeight="1">
      <c r="A348" s="236"/>
      <c r="B348" s="203"/>
      <c r="C348" s="203"/>
      <c r="D348" s="203"/>
      <c r="E348" s="203"/>
      <c r="F348" s="203"/>
      <c r="G348" s="203"/>
      <c r="H348" s="209"/>
    </row>
    <row r="349" spans="1:8" ht="15" customHeight="1">
      <c r="A349" s="212"/>
      <c r="B349" s="203"/>
      <c r="C349" s="203"/>
      <c r="D349" s="203"/>
      <c r="E349" s="203"/>
      <c r="F349" s="203"/>
      <c r="G349" s="203"/>
      <c r="H349" s="209"/>
    </row>
    <row r="350" spans="1:8" ht="15" customHeight="1">
      <c r="A350" s="219"/>
      <c r="B350" s="220" t="s">
        <v>246</v>
      </c>
      <c r="C350" s="221" t="s">
        <v>21</v>
      </c>
      <c r="D350" s="222" t="s">
        <v>241</v>
      </c>
      <c r="E350" s="223">
        <v>5</v>
      </c>
      <c r="F350" s="224"/>
      <c r="G350" s="217" t="str">
        <f>IFERROR(F254/E254,"")</f>
        <v/>
      </c>
      <c r="H350" s="225"/>
    </row>
    <row r="351" spans="1:8" ht="15" customHeight="1">
      <c r="A351" s="242" t="s">
        <v>257</v>
      </c>
      <c r="B351" s="203"/>
      <c r="C351" s="203"/>
      <c r="D351" s="203"/>
      <c r="E351" s="203"/>
      <c r="F351" s="203"/>
      <c r="G351" s="203"/>
      <c r="H351" s="203"/>
    </row>
    <row r="352" spans="1:8" ht="15" customHeight="1">
      <c r="A352" s="243"/>
      <c r="B352" s="285" t="s">
        <v>274</v>
      </c>
      <c r="C352" s="286" t="s">
        <v>221</v>
      </c>
      <c r="D352" s="286" t="s">
        <v>27</v>
      </c>
      <c r="E352" s="287">
        <v>1385752</v>
      </c>
      <c r="F352" s="260"/>
      <c r="G352" s="217" t="str">
        <f t="shared" ref="G352:G358" si="0">IFERROR(F135/E135,"")</f>
        <v/>
      </c>
      <c r="H352" s="225"/>
    </row>
    <row r="353" spans="1:8" ht="15" customHeight="1">
      <c r="A353" s="244"/>
      <c r="B353" s="257" t="s">
        <v>222</v>
      </c>
      <c r="C353" s="258" t="s">
        <v>221</v>
      </c>
      <c r="D353" s="258" t="s">
        <v>27</v>
      </c>
      <c r="E353" s="259">
        <v>438112</v>
      </c>
      <c r="F353" s="260"/>
      <c r="G353" s="217" t="str">
        <f t="shared" si="0"/>
        <v/>
      </c>
      <c r="H353" s="225"/>
    </row>
    <row r="354" spans="1:8" ht="15" customHeight="1">
      <c r="A354" s="245"/>
      <c r="B354" s="261" t="s">
        <v>223</v>
      </c>
      <c r="C354" s="262" t="s">
        <v>221</v>
      </c>
      <c r="D354" s="262" t="s">
        <v>27</v>
      </c>
      <c r="E354" s="263">
        <v>332468</v>
      </c>
      <c r="F354" s="260"/>
      <c r="G354" s="217" t="str">
        <f t="shared" si="0"/>
        <v/>
      </c>
      <c r="H354" s="225"/>
    </row>
    <row r="355" spans="1:8" ht="15" customHeight="1">
      <c r="A355" s="246"/>
      <c r="B355" s="264" t="s">
        <v>220</v>
      </c>
      <c r="C355" s="265" t="s">
        <v>221</v>
      </c>
      <c r="D355" s="265" t="s">
        <v>27</v>
      </c>
      <c r="E355" s="266">
        <v>196341</v>
      </c>
      <c r="F355" s="260"/>
      <c r="G355" s="217" t="str">
        <f t="shared" si="0"/>
        <v/>
      </c>
      <c r="H355" s="225"/>
    </row>
    <row r="356" spans="1:8" ht="15" customHeight="1">
      <c r="A356" s="219"/>
      <c r="B356" s="267" t="s">
        <v>224</v>
      </c>
      <c r="C356" s="268" t="s">
        <v>221</v>
      </c>
      <c r="D356" s="268" t="s">
        <v>27</v>
      </c>
      <c r="E356" s="269">
        <v>285780</v>
      </c>
      <c r="F356" s="260"/>
      <c r="G356" s="217" t="str">
        <f t="shared" si="0"/>
        <v/>
      </c>
      <c r="H356" s="225"/>
    </row>
    <row r="357" spans="1:8" ht="15" customHeight="1">
      <c r="A357" s="247"/>
      <c r="B357" s="281" t="s">
        <v>225</v>
      </c>
      <c r="C357" s="288" t="s">
        <v>221</v>
      </c>
      <c r="D357" s="288" t="s">
        <v>27</v>
      </c>
      <c r="E357" s="283">
        <v>0</v>
      </c>
      <c r="F357" s="260"/>
      <c r="G357" s="217" t="str">
        <f t="shared" si="0"/>
        <v/>
      </c>
      <c r="H357" s="225"/>
    </row>
    <row r="358" spans="1:8" ht="21.75" customHeight="1">
      <c r="A358" s="236"/>
      <c r="B358" s="252" t="s">
        <v>226</v>
      </c>
      <c r="C358" s="239" t="s">
        <v>221</v>
      </c>
      <c r="D358" s="239" t="s">
        <v>27</v>
      </c>
      <c r="E358" s="253">
        <v>133050</v>
      </c>
      <c r="F358" s="260"/>
      <c r="G358" s="217" t="str">
        <f t="shared" si="0"/>
        <v/>
      </c>
      <c r="H358" s="225"/>
    </row>
    <row r="359" spans="1:8" ht="21.75" customHeight="1">
      <c r="A359" s="289" t="s">
        <v>251</v>
      </c>
    </row>
    <row r="360" spans="1:8" ht="15" customHeight="1">
      <c r="A360" s="250"/>
      <c r="B360" s="278" t="s">
        <v>277</v>
      </c>
      <c r="C360" s="273" t="s">
        <v>253</v>
      </c>
      <c r="D360" s="274" t="s">
        <v>32</v>
      </c>
      <c r="E360" s="279">
        <v>120</v>
      </c>
      <c r="F360" s="240"/>
      <c r="G360" s="208" t="str">
        <f>IFERROR(F167/E167,"")</f>
        <v/>
      </c>
      <c r="H360" s="254"/>
    </row>
    <row r="361" spans="1:8" ht="15" customHeight="1">
      <c r="A361" s="63"/>
      <c r="B361" s="252" t="s">
        <v>258</v>
      </c>
      <c r="C361" s="44" t="s">
        <v>253</v>
      </c>
      <c r="D361" s="28" t="s">
        <v>259</v>
      </c>
      <c r="E361" s="253">
        <v>65000</v>
      </c>
      <c r="F361" s="240"/>
      <c r="G361" s="208" t="str">
        <f>IFERROR(F168/E168,"")</f>
        <v/>
      </c>
      <c r="H361" s="254"/>
    </row>
    <row r="362" spans="1:8" ht="15" customHeight="1">
      <c r="A362" s="63"/>
      <c r="B362" s="252" t="s">
        <v>278</v>
      </c>
      <c r="C362" s="44" t="s">
        <v>253</v>
      </c>
      <c r="D362" s="44" t="s">
        <v>279</v>
      </c>
      <c r="E362" s="253">
        <v>6000</v>
      </c>
      <c r="F362" s="240"/>
      <c r="G362" s="208" t="str">
        <f>IFERROR(F169/E169,"")</f>
        <v/>
      </c>
      <c r="H362" s="254"/>
    </row>
    <row r="363" spans="1:8" ht="15" customHeight="1">
      <c r="A363" s="250"/>
      <c r="B363" s="278" t="s">
        <v>267</v>
      </c>
      <c r="C363" s="273" t="s">
        <v>253</v>
      </c>
      <c r="D363" s="274" t="s">
        <v>241</v>
      </c>
      <c r="E363" s="279">
        <v>1200</v>
      </c>
      <c r="F363" s="240"/>
      <c r="G363" s="208" t="str">
        <f>IFERROR(F170/E170,"")</f>
        <v/>
      </c>
      <c r="H363" s="254"/>
    </row>
    <row r="364" spans="1:8" ht="15" customHeight="1">
      <c r="A364" s="255"/>
      <c r="B364" s="203"/>
      <c r="C364" s="203"/>
      <c r="D364" s="203"/>
      <c r="E364" s="203"/>
      <c r="F364" s="203"/>
      <c r="G364" s="203"/>
      <c r="H364" s="209"/>
    </row>
    <row r="365" spans="1:8" ht="15" customHeight="1">
      <c r="A365" s="57"/>
      <c r="B365" s="203"/>
      <c r="C365" s="203"/>
      <c r="D365" s="203"/>
      <c r="E365" s="203"/>
      <c r="F365" s="203"/>
      <c r="G365" s="203"/>
      <c r="H365" s="209"/>
    </row>
    <row r="366" spans="1:8" ht="15" customHeight="1">
      <c r="A366" s="60"/>
      <c r="B366" s="203"/>
      <c r="C366" s="203"/>
      <c r="D366" s="203"/>
      <c r="E366" s="203"/>
      <c r="F366" s="203"/>
      <c r="G366" s="203"/>
      <c r="H366" s="209"/>
    </row>
    <row r="367" spans="1:8" ht="15" customHeight="1">
      <c r="A367" s="250"/>
      <c r="B367" s="203"/>
      <c r="C367" s="203"/>
      <c r="D367" s="203"/>
      <c r="E367" s="203"/>
      <c r="F367" s="203"/>
      <c r="G367" s="203"/>
      <c r="H367" s="209"/>
    </row>
    <row r="368" spans="1:8" ht="21.75" customHeight="1">
      <c r="A368" s="637"/>
      <c r="B368" s="637"/>
      <c r="C368" s="637"/>
      <c r="D368" s="637"/>
      <c r="E368" s="637"/>
      <c r="F368" s="637"/>
      <c r="G368" s="637"/>
      <c r="H368" s="637"/>
    </row>
    <row r="369" spans="1:8" ht="21.75" customHeight="1">
      <c r="A369" s="204" t="s">
        <v>280</v>
      </c>
      <c r="B369" s="203"/>
      <c r="C369" s="203"/>
      <c r="D369" s="203"/>
      <c r="E369" s="203"/>
      <c r="F369" s="203"/>
      <c r="G369" s="203"/>
      <c r="H369" s="203"/>
    </row>
    <row r="370" spans="1:8" ht="21.75" customHeight="1">
      <c r="A370" s="10"/>
      <c r="B370" s="203"/>
      <c r="C370" s="203"/>
      <c r="D370" s="203"/>
      <c r="E370" s="203"/>
      <c r="F370" s="203"/>
      <c r="G370" s="203"/>
      <c r="H370" s="209"/>
    </row>
    <row r="371" spans="1:8" ht="21.75" customHeight="1">
      <c r="A371" s="10"/>
      <c r="B371" s="203"/>
      <c r="C371" s="203"/>
      <c r="D371" s="203"/>
      <c r="E371" s="203"/>
      <c r="F371" s="203"/>
      <c r="G371" s="203"/>
      <c r="H371" s="209"/>
    </row>
    <row r="372" spans="1:8" ht="21.75" customHeight="1">
      <c r="A372" s="10"/>
      <c r="B372" s="203"/>
      <c r="C372" s="203"/>
      <c r="D372" s="203"/>
      <c r="E372" s="203"/>
      <c r="F372" s="203"/>
      <c r="G372" s="203"/>
      <c r="H372" s="209"/>
    </row>
    <row r="373" spans="1:8" ht="21.75" customHeight="1">
      <c r="A373" s="10"/>
      <c r="B373" s="203"/>
      <c r="C373" s="203"/>
      <c r="D373" s="203"/>
      <c r="E373" s="203"/>
      <c r="F373" s="203"/>
      <c r="G373" s="203"/>
      <c r="H373" s="209"/>
    </row>
    <row r="374" spans="1:8" ht="15" customHeight="1">
      <c r="A374" s="6"/>
      <c r="B374" s="203"/>
      <c r="C374" s="203"/>
      <c r="D374" s="203"/>
      <c r="E374" s="203"/>
      <c r="F374" s="203"/>
      <c r="G374" s="203"/>
      <c r="H374" s="209"/>
    </row>
    <row r="375" spans="1:8" ht="15" customHeight="1">
      <c r="A375" s="6"/>
      <c r="B375" s="205" t="s">
        <v>240</v>
      </c>
      <c r="C375" s="8" t="s">
        <v>18</v>
      </c>
      <c r="D375" s="8" t="s">
        <v>241</v>
      </c>
      <c r="E375" s="206">
        <v>16</v>
      </c>
      <c r="F375" s="271"/>
      <c r="G375" s="208" t="str">
        <f>IFERROR(F115/E115,"")</f>
        <v/>
      </c>
      <c r="H375" s="208">
        <f>IFERROR(F115/F101,"")</f>
        <v>0</v>
      </c>
    </row>
    <row r="376" spans="1:8" ht="15" customHeight="1">
      <c r="A376" s="26"/>
      <c r="B376" s="203"/>
      <c r="C376" s="203"/>
      <c r="D376" s="203"/>
      <c r="E376" s="203"/>
      <c r="F376" s="203"/>
      <c r="G376" s="203"/>
      <c r="H376" s="209"/>
    </row>
    <row r="377" spans="1:8" ht="15" customHeight="1">
      <c r="A377" s="26"/>
      <c r="B377" s="210" t="s">
        <v>44</v>
      </c>
      <c r="C377" s="28" t="s">
        <v>24</v>
      </c>
      <c r="D377" s="28" t="s">
        <v>241</v>
      </c>
      <c r="E377" s="211">
        <v>7</v>
      </c>
      <c r="F377" s="271"/>
      <c r="G377" s="208" t="str">
        <f>IFERROR(F117/E117,"")</f>
        <v/>
      </c>
      <c r="H377" s="208" t="str">
        <f>IFERROR(F117/F103,"")</f>
        <v/>
      </c>
    </row>
    <row r="378" spans="1:8" ht="15" customHeight="1">
      <c r="A378" s="26"/>
      <c r="B378" s="210" t="s">
        <v>242</v>
      </c>
      <c r="C378" s="28" t="s">
        <v>24</v>
      </c>
      <c r="D378" s="28" t="s">
        <v>243</v>
      </c>
      <c r="E378" s="211">
        <v>14</v>
      </c>
      <c r="F378" s="271"/>
      <c r="G378" s="208" t="str">
        <f>IFERROR(F118/E118,"")</f>
        <v/>
      </c>
      <c r="H378" s="208" t="str">
        <f>IFERROR(F118/F104,"")</f>
        <v/>
      </c>
    </row>
    <row r="379" spans="1:8" ht="15" customHeight="1">
      <c r="A379" s="212"/>
      <c r="B379" s="213" t="s">
        <v>244</v>
      </c>
      <c r="C379" s="214" t="s">
        <v>245</v>
      </c>
      <c r="D379" s="214" t="s">
        <v>241</v>
      </c>
      <c r="E379" s="215">
        <v>24</v>
      </c>
      <c r="F379" s="215">
        <v>7</v>
      </c>
      <c r="G379" s="217" t="str">
        <f>IFERROR(F282/E282,"")</f>
        <v/>
      </c>
      <c r="H379" s="218">
        <f>IFERROR(F119/F105,"")</f>
        <v>0</v>
      </c>
    </row>
    <row r="380" spans="1:8" ht="15" customHeight="1">
      <c r="A380" s="219"/>
      <c r="B380" s="203"/>
      <c r="C380" s="203"/>
      <c r="D380" s="203"/>
      <c r="E380" s="203"/>
      <c r="F380" s="203"/>
      <c r="G380" s="203"/>
      <c r="H380" s="209"/>
    </row>
    <row r="381" spans="1:8" ht="15" customHeight="1">
      <c r="A381" s="226"/>
      <c r="B381" s="227" t="s">
        <v>247</v>
      </c>
      <c r="C381" s="228" t="s">
        <v>248</v>
      </c>
      <c r="D381" s="228" t="s">
        <v>27</v>
      </c>
      <c r="E381" s="229">
        <v>5561491</v>
      </c>
      <c r="F381" s="271"/>
      <c r="G381" s="208" t="str">
        <f>IFERROR(F120/E120,"")</f>
        <v/>
      </c>
      <c r="H381" s="208">
        <f>IFERROR(F120/F106,"")</f>
        <v>0</v>
      </c>
    </row>
    <row r="382" spans="1:8" ht="15" customHeight="1">
      <c r="A382" s="10"/>
      <c r="B382" s="231" t="s">
        <v>249</v>
      </c>
      <c r="C382" s="12" t="s">
        <v>248</v>
      </c>
      <c r="D382" s="12" t="s">
        <v>27</v>
      </c>
      <c r="E382" s="232">
        <v>1820750</v>
      </c>
      <c r="F382" s="271"/>
      <c r="G382" s="208" t="str">
        <f>IFERROR(F121/E121,"")</f>
        <v/>
      </c>
      <c r="H382" s="208" t="str">
        <f>IFERROR(F121/F107,"")</f>
        <v/>
      </c>
    </row>
    <row r="383" spans="1:8" ht="15" customHeight="1">
      <c r="A383" s="6"/>
      <c r="B383" s="203"/>
      <c r="C383" s="203"/>
      <c r="D383" s="203"/>
      <c r="E383" s="203"/>
      <c r="F383" s="203"/>
      <c r="G383" s="203"/>
      <c r="H383" s="209"/>
    </row>
    <row r="384" spans="1:8" ht="15" customHeight="1">
      <c r="A384" s="284" t="s">
        <v>251</v>
      </c>
    </row>
    <row r="385" spans="1:8" ht="15" customHeight="1">
      <c r="A385" s="236"/>
      <c r="B385" s="256" t="s">
        <v>261</v>
      </c>
      <c r="C385" s="238" t="s">
        <v>253</v>
      </c>
      <c r="D385" s="239" t="s">
        <v>259</v>
      </c>
      <c r="E385" s="238" t="s">
        <v>72</v>
      </c>
      <c r="F385" s="276">
        <v>127</v>
      </c>
      <c r="G385" s="241"/>
      <c r="H385" s="241"/>
    </row>
    <row r="386" spans="1:8" ht="15" customHeight="1">
      <c r="A386" s="236"/>
      <c r="B386" s="237" t="s">
        <v>252</v>
      </c>
      <c r="C386" s="238" t="s">
        <v>253</v>
      </c>
      <c r="D386" s="239" t="s">
        <v>254</v>
      </c>
      <c r="E386" s="238" t="s">
        <v>72</v>
      </c>
      <c r="F386" s="276">
        <v>96</v>
      </c>
      <c r="G386" s="241"/>
      <c r="H386" s="241"/>
    </row>
    <row r="387" spans="1:8" ht="15" customHeight="1">
      <c r="A387" s="236"/>
      <c r="B387" s="237" t="s">
        <v>255</v>
      </c>
      <c r="C387" s="238" t="s">
        <v>253</v>
      </c>
      <c r="D387" s="238" t="s">
        <v>35</v>
      </c>
      <c r="E387" s="238" t="s">
        <v>72</v>
      </c>
      <c r="F387" s="290">
        <v>0.1</v>
      </c>
      <c r="G387" s="241"/>
      <c r="H387" s="241"/>
    </row>
    <row r="388" spans="1:8" ht="15" customHeight="1">
      <c r="A388" s="236"/>
      <c r="B388" s="237" t="s">
        <v>256</v>
      </c>
      <c r="C388" s="238" t="s">
        <v>253</v>
      </c>
      <c r="D388" s="239" t="s">
        <v>241</v>
      </c>
      <c r="E388" s="238" t="s">
        <v>72</v>
      </c>
      <c r="F388" s="276">
        <v>23</v>
      </c>
      <c r="G388" s="241"/>
      <c r="H388" s="241"/>
    </row>
    <row r="389" spans="1:8" ht="15" customHeight="1">
      <c r="A389" s="236"/>
      <c r="B389" s="277" t="s">
        <v>266</v>
      </c>
      <c r="C389" s="238" t="s">
        <v>253</v>
      </c>
      <c r="D389" s="239" t="s">
        <v>241</v>
      </c>
      <c r="E389" s="238" t="s">
        <v>72</v>
      </c>
      <c r="F389" s="276">
        <v>7</v>
      </c>
      <c r="G389" s="241"/>
      <c r="H389" s="241"/>
    </row>
    <row r="390" spans="1:8" ht="15" customHeight="1">
      <c r="A390" s="270" t="s">
        <v>257</v>
      </c>
    </row>
    <row r="391" spans="1:8" ht="15" customHeight="1">
      <c r="A391" s="243"/>
      <c r="B391" s="285" t="s">
        <v>274</v>
      </c>
      <c r="C391" s="286" t="s">
        <v>221</v>
      </c>
      <c r="D391" s="286" t="s">
        <v>27</v>
      </c>
      <c r="E391" s="287">
        <v>1718086</v>
      </c>
      <c r="F391" s="260"/>
      <c r="G391" s="217" t="str">
        <f>IFERROR(F154/E154,"")</f>
        <v/>
      </c>
      <c r="H391" s="225"/>
    </row>
    <row r="392" spans="1:8" ht="15" customHeight="1">
      <c r="A392" s="244"/>
      <c r="B392" s="257" t="s">
        <v>222</v>
      </c>
      <c r="C392" s="258" t="s">
        <v>221</v>
      </c>
      <c r="D392" s="258" t="s">
        <v>27</v>
      </c>
      <c r="E392" s="259">
        <v>561488</v>
      </c>
      <c r="F392" s="260"/>
      <c r="G392" s="217" t="str">
        <f>IFERROR(F155/E155,"")</f>
        <v/>
      </c>
      <c r="H392" s="225"/>
    </row>
    <row r="393" spans="1:8" ht="15" customHeight="1">
      <c r="A393" s="245"/>
      <c r="B393" s="261" t="s">
        <v>223</v>
      </c>
      <c r="C393" s="262" t="s">
        <v>221</v>
      </c>
      <c r="D393" s="262" t="s">
        <v>27</v>
      </c>
      <c r="E393" s="263">
        <v>404715</v>
      </c>
      <c r="F393" s="260"/>
      <c r="G393" s="217" t="str">
        <f>IFERROR(F156/E156,"")</f>
        <v/>
      </c>
      <c r="H393" s="225"/>
    </row>
    <row r="394" spans="1:8" ht="15" customHeight="1">
      <c r="A394" s="246"/>
      <c r="B394" s="203"/>
      <c r="C394" s="203"/>
      <c r="D394" s="203"/>
      <c r="E394" s="203"/>
      <c r="F394" s="203"/>
      <c r="G394" s="203"/>
      <c r="H394" s="209"/>
    </row>
    <row r="395" spans="1:8" ht="15" customHeight="1">
      <c r="A395" s="219"/>
      <c r="B395" s="267" t="s">
        <v>224</v>
      </c>
      <c r="C395" s="268" t="s">
        <v>221</v>
      </c>
      <c r="D395" s="268" t="s">
        <v>27</v>
      </c>
      <c r="E395" s="269">
        <v>337880</v>
      </c>
      <c r="F395" s="260"/>
      <c r="G395" s="217">
        <f>IFERROR(F158/E158,"")</f>
        <v>0</v>
      </c>
      <c r="H395" s="225"/>
    </row>
    <row r="396" spans="1:8" ht="15" customHeight="1">
      <c r="A396" s="247"/>
      <c r="B396" s="281" t="s">
        <v>225</v>
      </c>
      <c r="C396" s="288" t="s">
        <v>221</v>
      </c>
      <c r="D396" s="288" t="s">
        <v>27</v>
      </c>
      <c r="E396" s="283">
        <v>0</v>
      </c>
      <c r="F396" s="260"/>
      <c r="G396" s="217">
        <f>IFERROR(F159/E159,"")</f>
        <v>0</v>
      </c>
      <c r="H396" s="225"/>
    </row>
    <row r="397" spans="1:8" ht="15" customHeight="1">
      <c r="A397" s="236"/>
      <c r="B397" s="203"/>
      <c r="C397" s="203"/>
      <c r="D397" s="203"/>
      <c r="E397" s="203"/>
      <c r="F397" s="203"/>
      <c r="G397" s="203"/>
      <c r="H397" s="209"/>
    </row>
    <row r="398" spans="1:8" ht="15" customHeight="1">
      <c r="A398" s="249" t="s">
        <v>251</v>
      </c>
      <c r="B398" s="203"/>
      <c r="C398" s="203"/>
      <c r="D398" s="203"/>
      <c r="E398" s="203"/>
      <c r="F398" s="203"/>
      <c r="G398" s="203"/>
      <c r="H398" s="203"/>
    </row>
    <row r="399" spans="1:8" ht="15" customHeight="1">
      <c r="A399" s="250"/>
      <c r="B399" s="203"/>
      <c r="C399" s="203"/>
      <c r="D399" s="203"/>
      <c r="E399" s="203"/>
      <c r="F399" s="203"/>
      <c r="G399" s="203"/>
      <c r="H399" s="209"/>
    </row>
    <row r="400" spans="1:8" ht="15" customHeight="1">
      <c r="A400" s="63"/>
      <c r="B400" s="203"/>
      <c r="C400" s="203"/>
      <c r="D400" s="203"/>
      <c r="E400" s="203"/>
      <c r="F400" s="203"/>
      <c r="G400" s="203"/>
      <c r="H400" s="209"/>
    </row>
    <row r="401" spans="1:8" ht="21.75" customHeight="1">
      <c r="A401" s="63"/>
      <c r="B401" s="252" t="s">
        <v>278</v>
      </c>
      <c r="C401" s="44" t="s">
        <v>253</v>
      </c>
      <c r="D401" s="44" t="s">
        <v>279</v>
      </c>
      <c r="E401" s="253">
        <v>5000</v>
      </c>
      <c r="F401" s="291">
        <v>4420</v>
      </c>
      <c r="G401" s="208" t="str">
        <f>IFERROR(F192/E192,"")</f>
        <v/>
      </c>
      <c r="H401" s="254"/>
    </row>
    <row r="402" spans="1:8" ht="21.75" customHeight="1">
      <c r="A402" s="250"/>
      <c r="B402" s="278" t="s">
        <v>267</v>
      </c>
      <c r="C402" s="273" t="s">
        <v>253</v>
      </c>
      <c r="D402" s="274" t="s">
        <v>241</v>
      </c>
      <c r="E402" s="279">
        <v>1000</v>
      </c>
      <c r="F402" s="292">
        <v>958</v>
      </c>
      <c r="G402" s="208" t="str">
        <f>IFERROR(F193/E193,"")</f>
        <v/>
      </c>
      <c r="H402" s="254"/>
    </row>
    <row r="403" spans="1:8" ht="15" customHeight="1">
      <c r="A403" s="255"/>
      <c r="B403" s="293" t="s">
        <v>261</v>
      </c>
      <c r="C403" s="294" t="s">
        <v>253</v>
      </c>
      <c r="D403" s="295" t="s">
        <v>241</v>
      </c>
      <c r="E403" s="296">
        <v>180</v>
      </c>
      <c r="F403" s="297">
        <v>127</v>
      </c>
      <c r="G403" s="208">
        <f>IFERROR(F194/E194,"")</f>
        <v>0</v>
      </c>
      <c r="H403" s="254"/>
    </row>
    <row r="404" spans="1:8" ht="15" customHeight="1">
      <c r="A404" s="57"/>
      <c r="B404" s="203"/>
      <c r="C404" s="203"/>
      <c r="D404" s="203"/>
      <c r="E404" s="203"/>
      <c r="F404" s="203"/>
      <c r="G404" s="203"/>
      <c r="H404" s="209"/>
    </row>
    <row r="405" spans="1:8" ht="15" customHeight="1">
      <c r="A405" s="60"/>
      <c r="B405" s="281" t="s">
        <v>269</v>
      </c>
      <c r="C405" s="282" t="s">
        <v>253</v>
      </c>
      <c r="D405" s="24" t="s">
        <v>241</v>
      </c>
      <c r="E405" s="283">
        <v>30</v>
      </c>
      <c r="F405" s="298">
        <v>23</v>
      </c>
      <c r="G405" s="208" t="str">
        <f>IFERROR(F196/E196,"")</f>
        <v/>
      </c>
      <c r="H405" s="254"/>
    </row>
    <row r="406" spans="1:8" ht="15" customHeight="1">
      <c r="A406" s="250"/>
      <c r="B406" s="203"/>
      <c r="C406" s="203"/>
      <c r="D406" s="203"/>
      <c r="E406" s="203"/>
      <c r="F406" s="203"/>
      <c r="G406" s="203"/>
      <c r="H406" s="209"/>
    </row>
    <row r="407" spans="1:8" ht="15" customHeight="1"/>
    <row r="408" spans="1:8" ht="15" customHeight="1">
      <c r="A408" s="204" t="s">
        <v>281</v>
      </c>
      <c r="B408" s="203"/>
      <c r="C408" s="203"/>
      <c r="D408" s="203"/>
      <c r="E408" s="203"/>
      <c r="F408" s="203"/>
      <c r="G408" s="203"/>
      <c r="H408" s="203"/>
    </row>
    <row r="409" spans="1:8" ht="15" customHeight="1">
      <c r="A409" s="10"/>
      <c r="B409" s="203"/>
      <c r="C409" s="203"/>
      <c r="D409" s="203"/>
      <c r="E409" s="203"/>
      <c r="F409" s="203"/>
      <c r="G409" s="203"/>
      <c r="H409" s="209"/>
    </row>
    <row r="410" spans="1:8" ht="15" customHeight="1">
      <c r="A410" s="10"/>
      <c r="B410" s="231" t="s">
        <v>276</v>
      </c>
      <c r="C410" s="12" t="s">
        <v>20</v>
      </c>
      <c r="D410" s="12" t="s">
        <v>254</v>
      </c>
      <c r="E410" s="232">
        <v>210</v>
      </c>
      <c r="F410" s="271"/>
      <c r="G410" s="208" t="str">
        <f t="shared" ref="G410:G417" si="1">IFERROR(F126/E126,"")</f>
        <v/>
      </c>
      <c r="H410" s="208" t="str">
        <f t="shared" ref="H410:H418" si="2">IFERROR(F126/F112,"")</f>
        <v/>
      </c>
    </row>
    <row r="411" spans="1:8" ht="15" customHeight="1">
      <c r="A411" s="10"/>
      <c r="B411" s="299" t="s">
        <v>282</v>
      </c>
      <c r="C411" s="12" t="s">
        <v>20</v>
      </c>
      <c r="D411" s="35" t="s">
        <v>35</v>
      </c>
      <c r="E411" s="300">
        <v>0.05</v>
      </c>
      <c r="F411" s="301"/>
      <c r="G411" s="208">
        <f t="shared" si="1"/>
        <v>0</v>
      </c>
      <c r="H411" s="208" t="str">
        <f t="shared" si="2"/>
        <v/>
      </c>
    </row>
    <row r="412" spans="1:8" ht="15" customHeight="1">
      <c r="A412" s="10"/>
      <c r="B412" s="231" t="s">
        <v>283</v>
      </c>
      <c r="C412" s="12" t="s">
        <v>20</v>
      </c>
      <c r="D412" s="12" t="s">
        <v>19</v>
      </c>
      <c r="E412" s="232">
        <v>385</v>
      </c>
      <c r="F412" s="271"/>
      <c r="G412" s="208" t="str">
        <f t="shared" si="1"/>
        <v/>
      </c>
      <c r="H412" s="208" t="str">
        <f t="shared" si="2"/>
        <v/>
      </c>
    </row>
    <row r="413" spans="1:8" ht="15" customHeight="1">
      <c r="A413" s="6"/>
      <c r="B413" s="205" t="s">
        <v>39</v>
      </c>
      <c r="C413" s="8" t="s">
        <v>18</v>
      </c>
      <c r="D413" s="8" t="s">
        <v>40</v>
      </c>
      <c r="E413" s="206">
        <v>16</v>
      </c>
      <c r="F413" s="271"/>
      <c r="G413" s="208" t="str">
        <f t="shared" si="1"/>
        <v/>
      </c>
      <c r="H413" s="208" t="str">
        <f t="shared" si="2"/>
        <v/>
      </c>
    </row>
    <row r="414" spans="1:8" ht="15" customHeight="1">
      <c r="A414" s="6"/>
      <c r="B414" s="205" t="s">
        <v>240</v>
      </c>
      <c r="C414" s="8" t="s">
        <v>18</v>
      </c>
      <c r="D414" s="8" t="s">
        <v>241</v>
      </c>
      <c r="E414" s="206">
        <v>14</v>
      </c>
      <c r="F414" s="271"/>
      <c r="G414" s="208" t="str">
        <f t="shared" si="1"/>
        <v/>
      </c>
      <c r="H414" s="208" t="str">
        <f t="shared" si="2"/>
        <v/>
      </c>
    </row>
    <row r="415" spans="1:8" ht="15" customHeight="1">
      <c r="A415" s="26"/>
      <c r="B415" s="210" t="s">
        <v>273</v>
      </c>
      <c r="C415" s="28" t="s">
        <v>24</v>
      </c>
      <c r="D415" s="28" t="s">
        <v>241</v>
      </c>
      <c r="E415" s="211">
        <v>15</v>
      </c>
      <c r="F415" s="271"/>
      <c r="G415" s="208" t="str">
        <f t="shared" si="1"/>
        <v/>
      </c>
      <c r="H415" s="208" t="str">
        <f t="shared" si="2"/>
        <v/>
      </c>
    </row>
    <row r="416" spans="1:8" ht="15" customHeight="1">
      <c r="A416" s="26"/>
      <c r="B416" s="210" t="s">
        <v>44</v>
      </c>
      <c r="C416" s="28" t="s">
        <v>24</v>
      </c>
      <c r="D416" s="28" t="s">
        <v>241</v>
      </c>
      <c r="E416" s="211">
        <v>5</v>
      </c>
      <c r="F416" s="271"/>
      <c r="G416" s="208" t="str">
        <f t="shared" si="1"/>
        <v/>
      </c>
      <c r="H416" s="208" t="str">
        <f t="shared" si="2"/>
        <v/>
      </c>
    </row>
    <row r="417" spans="1:8" ht="15" customHeight="1">
      <c r="A417" s="26"/>
      <c r="B417" s="210" t="s">
        <v>242</v>
      </c>
      <c r="C417" s="28" t="s">
        <v>24</v>
      </c>
      <c r="D417" s="28" t="s">
        <v>243</v>
      </c>
      <c r="E417" s="211">
        <v>16</v>
      </c>
      <c r="F417" s="271"/>
      <c r="G417" s="208" t="str">
        <f t="shared" si="1"/>
        <v/>
      </c>
      <c r="H417" s="208" t="str">
        <f t="shared" si="2"/>
        <v/>
      </c>
    </row>
    <row r="418" spans="1:8" ht="15" customHeight="1">
      <c r="A418" s="212"/>
      <c r="B418" s="213" t="s">
        <v>244</v>
      </c>
      <c r="C418" s="214" t="s">
        <v>245</v>
      </c>
      <c r="D418" s="214" t="s">
        <v>241</v>
      </c>
      <c r="E418" s="215">
        <v>19</v>
      </c>
      <c r="F418" s="215">
        <v>17</v>
      </c>
      <c r="G418" s="217" t="str">
        <f>IFERROR(F320/E320,"")</f>
        <v/>
      </c>
      <c r="H418" s="218" t="str">
        <f t="shared" si="2"/>
        <v/>
      </c>
    </row>
    <row r="419" spans="1:8" ht="15" customHeight="1">
      <c r="A419" s="219"/>
      <c r="B419" s="220" t="s">
        <v>246</v>
      </c>
      <c r="C419" s="221" t="s">
        <v>21</v>
      </c>
      <c r="D419" s="222" t="s">
        <v>241</v>
      </c>
      <c r="E419" s="223">
        <v>5</v>
      </c>
      <c r="F419" s="224"/>
      <c r="G419" s="217" t="str">
        <f>IFERROR(F321/E321,"")</f>
        <v/>
      </c>
      <c r="H419" s="225"/>
    </row>
    <row r="420" spans="1:8" ht="15" customHeight="1">
      <c r="A420" s="226"/>
      <c r="B420" s="203"/>
      <c r="C420" s="203"/>
      <c r="D420" s="203"/>
      <c r="E420" s="203"/>
      <c r="F420" s="203"/>
      <c r="G420" s="203"/>
      <c r="H420" s="209"/>
    </row>
    <row r="421" spans="1:8" ht="15" customHeight="1">
      <c r="A421" s="10"/>
      <c r="B421" s="203"/>
      <c r="C421" s="203"/>
      <c r="D421" s="203"/>
      <c r="E421" s="203"/>
      <c r="F421" s="203"/>
      <c r="G421" s="203"/>
      <c r="H421" s="209"/>
    </row>
    <row r="422" spans="1:8" ht="15" customHeight="1">
      <c r="A422" s="6"/>
      <c r="B422" s="203"/>
      <c r="C422" s="203"/>
      <c r="D422" s="203"/>
      <c r="E422" s="203"/>
      <c r="F422" s="203"/>
      <c r="G422" s="203"/>
      <c r="H422" s="209"/>
    </row>
    <row r="423" spans="1:8" ht="15" customHeight="1">
      <c r="A423" s="284" t="s">
        <v>251</v>
      </c>
    </row>
    <row r="424" spans="1:8" ht="102" customHeight="1">
      <c r="A424" s="236"/>
      <c r="B424" s="256" t="s">
        <v>261</v>
      </c>
      <c r="C424" s="238" t="s">
        <v>253</v>
      </c>
      <c r="D424" s="239" t="s">
        <v>259</v>
      </c>
      <c r="E424" s="238" t="s">
        <v>72</v>
      </c>
      <c r="F424" s="276">
        <v>76</v>
      </c>
      <c r="G424" s="241"/>
      <c r="H424" s="241"/>
    </row>
    <row r="425" spans="1:8" ht="15" customHeight="1">
      <c r="A425" s="236"/>
      <c r="B425" s="203"/>
      <c r="C425" s="203"/>
      <c r="D425" s="203"/>
      <c r="E425" s="203"/>
      <c r="F425" s="203"/>
      <c r="G425" s="203"/>
      <c r="H425" s="209"/>
    </row>
    <row r="426" spans="1:8" ht="15" customHeight="1">
      <c r="A426" s="236"/>
      <c r="B426" s="203"/>
      <c r="C426" s="203"/>
      <c r="D426" s="203"/>
      <c r="E426" s="203"/>
      <c r="F426" s="203"/>
      <c r="G426" s="203"/>
      <c r="H426" s="209"/>
    </row>
    <row r="427" spans="1:8" ht="15" customHeight="1">
      <c r="A427" s="236"/>
      <c r="B427" s="203"/>
      <c r="C427" s="203"/>
      <c r="D427" s="203"/>
      <c r="E427" s="203"/>
      <c r="F427" s="203"/>
      <c r="G427" s="203"/>
      <c r="H427" s="209"/>
    </row>
    <row r="428" spans="1:8" ht="15" customHeight="1">
      <c r="A428" s="236"/>
      <c r="B428" s="277" t="s">
        <v>266</v>
      </c>
      <c r="C428" s="238" t="s">
        <v>253</v>
      </c>
      <c r="D428" s="239" t="s">
        <v>241</v>
      </c>
      <c r="E428" s="238" t="s">
        <v>72</v>
      </c>
      <c r="F428" s="276">
        <v>17</v>
      </c>
      <c r="G428" s="241"/>
      <c r="H428" s="241"/>
    </row>
    <row r="429" spans="1:8" ht="15" customHeight="1">
      <c r="A429" s="270" t="s">
        <v>257</v>
      </c>
    </row>
    <row r="430" spans="1:8" ht="15" customHeight="1">
      <c r="A430" s="243"/>
      <c r="B430" s="203"/>
      <c r="C430" s="203"/>
      <c r="D430" s="203"/>
      <c r="E430" s="203"/>
      <c r="F430" s="203"/>
      <c r="G430" s="203"/>
      <c r="H430" s="209"/>
    </row>
    <row r="431" spans="1:8" ht="15" customHeight="1">
      <c r="A431" s="244"/>
      <c r="B431" s="203"/>
      <c r="C431" s="203"/>
      <c r="D431" s="203"/>
      <c r="E431" s="203"/>
      <c r="F431" s="203"/>
      <c r="G431" s="203"/>
      <c r="H431" s="209"/>
    </row>
    <row r="432" spans="1:8" ht="15" customHeight="1">
      <c r="A432" s="245"/>
      <c r="B432" s="261" t="s">
        <v>223</v>
      </c>
      <c r="C432" s="262" t="s">
        <v>221</v>
      </c>
      <c r="D432" s="262" t="s">
        <v>27</v>
      </c>
      <c r="E432" s="263">
        <v>332468</v>
      </c>
      <c r="F432" s="260"/>
      <c r="G432" s="217" t="str">
        <f>IFERROR(F175/E175,"")</f>
        <v/>
      </c>
      <c r="H432" s="225"/>
    </row>
    <row r="433" spans="1:8" ht="15" customHeight="1">
      <c r="A433" s="246"/>
      <c r="B433" s="264" t="s">
        <v>220</v>
      </c>
      <c r="C433" s="265" t="s">
        <v>221</v>
      </c>
      <c r="D433" s="265" t="s">
        <v>27</v>
      </c>
      <c r="E433" s="266">
        <v>196341</v>
      </c>
      <c r="F433" s="260"/>
      <c r="G433" s="217" t="str">
        <f>IFERROR(F176/E176,"")</f>
        <v/>
      </c>
      <c r="H433" s="225"/>
    </row>
    <row r="434" spans="1:8" ht="15" customHeight="1">
      <c r="A434" s="219"/>
      <c r="B434" s="267" t="s">
        <v>224</v>
      </c>
      <c r="C434" s="268" t="s">
        <v>221</v>
      </c>
      <c r="D434" s="268" t="s">
        <v>27</v>
      </c>
      <c r="E434" s="269">
        <v>285780</v>
      </c>
      <c r="F434" s="260"/>
      <c r="G434" s="217" t="str">
        <f>IFERROR(F177/E177,"")</f>
        <v/>
      </c>
      <c r="H434" s="225"/>
    </row>
    <row r="435" spans="1:8" ht="15" customHeight="1">
      <c r="A435" s="247"/>
      <c r="B435" s="203"/>
      <c r="C435" s="203"/>
      <c r="D435" s="203"/>
      <c r="E435" s="203"/>
      <c r="F435" s="203"/>
      <c r="G435" s="203"/>
      <c r="H435" s="209"/>
    </row>
    <row r="436" spans="1:8" ht="15" customHeight="1">
      <c r="A436" s="236"/>
      <c r="B436" s="203"/>
      <c r="C436" s="203"/>
      <c r="D436" s="203"/>
      <c r="E436" s="203"/>
      <c r="F436" s="203"/>
      <c r="G436" s="203"/>
      <c r="H436" s="209"/>
    </row>
    <row r="437" spans="1:8" ht="15" customHeight="1">
      <c r="A437" s="289" t="s">
        <v>251</v>
      </c>
    </row>
    <row r="438" spans="1:8" ht="15" customHeight="1">
      <c r="A438" s="250"/>
      <c r="B438" s="278" t="s">
        <v>277</v>
      </c>
      <c r="C438" s="273" t="s">
        <v>253</v>
      </c>
      <c r="D438" s="274" t="s">
        <v>32</v>
      </c>
      <c r="E438" s="279">
        <v>100</v>
      </c>
      <c r="F438" s="240"/>
      <c r="G438" s="208" t="str">
        <f>IFERROR(F213/E213,"")</f>
        <v/>
      </c>
      <c r="H438" s="254"/>
    </row>
    <row r="439" spans="1:8" ht="21.75" customHeight="1">
      <c r="A439" s="63"/>
      <c r="B439" s="252" t="s">
        <v>258</v>
      </c>
      <c r="C439" s="44" t="s">
        <v>253</v>
      </c>
      <c r="D439" s="28" t="s">
        <v>259</v>
      </c>
      <c r="E439" s="253">
        <v>55000</v>
      </c>
      <c r="F439" s="240"/>
      <c r="G439" s="208" t="str">
        <f>IFERROR(F214/E214,"")</f>
        <v/>
      </c>
      <c r="H439" s="254"/>
    </row>
    <row r="440" spans="1:8" ht="21.75" customHeight="1">
      <c r="A440" s="63"/>
      <c r="B440" s="203"/>
      <c r="C440" s="203"/>
      <c r="D440" s="203"/>
      <c r="E440" s="203"/>
      <c r="F440" s="203"/>
      <c r="G440" s="203"/>
      <c r="H440" s="209"/>
    </row>
    <row r="441" spans="1:8" ht="15" customHeight="1">
      <c r="A441" s="250"/>
      <c r="B441" s="278" t="s">
        <v>267</v>
      </c>
      <c r="C441" s="273" t="s">
        <v>253</v>
      </c>
      <c r="D441" s="274" t="s">
        <v>241</v>
      </c>
      <c r="E441" s="279">
        <v>1000</v>
      </c>
      <c r="F441" s="240"/>
      <c r="G441" s="208" t="str">
        <f>IFERROR(F216/E216,"")</f>
        <v/>
      </c>
      <c r="H441" s="254"/>
    </row>
    <row r="442" spans="1:8" ht="15" customHeight="1">
      <c r="A442" s="255"/>
      <c r="B442" s="293" t="s">
        <v>261</v>
      </c>
      <c r="C442" s="294" t="s">
        <v>253</v>
      </c>
      <c r="D442" s="295" t="s">
        <v>241</v>
      </c>
      <c r="E442" s="296">
        <v>180</v>
      </c>
      <c r="F442" s="240"/>
      <c r="G442" s="208" t="str">
        <f>IFERROR(F217/E217,"")</f>
        <v/>
      </c>
      <c r="H442" s="254"/>
    </row>
    <row r="443" spans="1:8" ht="15" customHeight="1">
      <c r="A443" s="57"/>
      <c r="B443" s="267" t="s">
        <v>268</v>
      </c>
      <c r="C443" s="280" t="s">
        <v>253</v>
      </c>
      <c r="D443" s="20" t="s">
        <v>241</v>
      </c>
      <c r="E443" s="269">
        <v>550</v>
      </c>
      <c r="F443" s="240"/>
      <c r="G443" s="208" t="str">
        <f>IFERROR(F218/E218,"")</f>
        <v/>
      </c>
      <c r="H443" s="254"/>
    </row>
    <row r="444" spans="1:8" ht="15" customHeight="1">
      <c r="A444" s="60"/>
      <c r="B444" s="281" t="s">
        <v>269</v>
      </c>
      <c r="C444" s="282" t="s">
        <v>253</v>
      </c>
      <c r="D444" s="24" t="s">
        <v>241</v>
      </c>
      <c r="E444" s="283">
        <v>30</v>
      </c>
      <c r="F444" s="240"/>
      <c r="G444" s="208">
        <f>IFERROR(F219/E219,"")</f>
        <v>0</v>
      </c>
      <c r="H444" s="254"/>
    </row>
    <row r="445" spans="1:8" ht="15" customHeight="1">
      <c r="A445" s="250"/>
      <c r="B445" s="272" t="s">
        <v>264</v>
      </c>
      <c r="C445" s="273" t="s">
        <v>253</v>
      </c>
      <c r="D445" s="274" t="s">
        <v>241</v>
      </c>
      <c r="E445" s="275">
        <v>8</v>
      </c>
      <c r="F445" s="240"/>
      <c r="G445" s="208" t="str">
        <f>IFERROR(F220/E220,"")</f>
        <v/>
      </c>
      <c r="H445" s="254"/>
    </row>
    <row r="446" spans="1:8" ht="15" customHeight="1"/>
    <row r="447" spans="1:8" ht="15" customHeight="1">
      <c r="A447" s="204" t="s">
        <v>284</v>
      </c>
      <c r="B447" s="203"/>
      <c r="C447" s="203"/>
      <c r="D447" s="203"/>
      <c r="E447" s="203"/>
      <c r="F447" s="203"/>
      <c r="G447" s="203"/>
      <c r="H447" s="203"/>
    </row>
    <row r="448" spans="1:8" ht="15" customHeight="1">
      <c r="A448" s="10"/>
      <c r="B448" s="231" t="s">
        <v>271</v>
      </c>
      <c r="C448" s="12" t="s">
        <v>20</v>
      </c>
      <c r="D448" s="35" t="s">
        <v>272</v>
      </c>
      <c r="E448" s="232">
        <v>4200</v>
      </c>
      <c r="F448" s="271"/>
      <c r="G448" s="208" t="str">
        <f t="shared" ref="G448:G454" si="3">IFERROR(F140/E140,"")</f>
        <v/>
      </c>
      <c r="H448" s="208" t="str">
        <f t="shared" ref="H448:H454" si="4">IFERROR(F140/F126,"")</f>
        <v/>
      </c>
    </row>
    <row r="449" spans="1:8" ht="15" customHeight="1">
      <c r="A449" s="10"/>
      <c r="B449" s="231" t="s">
        <v>276</v>
      </c>
      <c r="C449" s="12" t="s">
        <v>20</v>
      </c>
      <c r="D449" s="12" t="s">
        <v>254</v>
      </c>
      <c r="E449" s="232">
        <v>210</v>
      </c>
      <c r="F449" s="271"/>
      <c r="G449" s="208" t="str">
        <f t="shared" si="3"/>
        <v/>
      </c>
      <c r="H449" s="208" t="str">
        <f t="shared" si="4"/>
        <v/>
      </c>
    </row>
    <row r="450" spans="1:8" ht="15" customHeight="1">
      <c r="A450" s="10"/>
      <c r="B450" s="299" t="s">
        <v>282</v>
      </c>
      <c r="C450" s="12" t="s">
        <v>20</v>
      </c>
      <c r="D450" s="35" t="s">
        <v>35</v>
      </c>
      <c r="E450" s="300">
        <v>0.05</v>
      </c>
      <c r="F450" s="301"/>
      <c r="G450" s="208" t="str">
        <f t="shared" si="3"/>
        <v/>
      </c>
      <c r="H450" s="208" t="str">
        <f t="shared" si="4"/>
        <v/>
      </c>
    </row>
    <row r="451" spans="1:8" ht="15" customHeight="1">
      <c r="A451" s="10"/>
      <c r="B451" s="231" t="s">
        <v>283</v>
      </c>
      <c r="C451" s="12" t="s">
        <v>20</v>
      </c>
      <c r="D451" s="12" t="s">
        <v>19</v>
      </c>
      <c r="E451" s="232">
        <v>385</v>
      </c>
      <c r="F451" s="271"/>
      <c r="G451" s="208" t="str">
        <f t="shared" si="3"/>
        <v/>
      </c>
      <c r="H451" s="208" t="str">
        <f t="shared" si="4"/>
        <v/>
      </c>
    </row>
    <row r="452" spans="1:8" ht="15" customHeight="1">
      <c r="A452" s="6"/>
      <c r="B452" s="205" t="s">
        <v>39</v>
      </c>
      <c r="C452" s="8" t="s">
        <v>18</v>
      </c>
      <c r="D452" s="8" t="s">
        <v>40</v>
      </c>
      <c r="E452" s="206">
        <v>18</v>
      </c>
      <c r="F452" s="271"/>
      <c r="G452" s="208" t="str">
        <f t="shared" si="3"/>
        <v/>
      </c>
      <c r="H452" s="208" t="str">
        <f t="shared" si="4"/>
        <v/>
      </c>
    </row>
    <row r="453" spans="1:8" ht="15" customHeight="1">
      <c r="A453" s="6"/>
      <c r="B453" s="205" t="s">
        <v>240</v>
      </c>
      <c r="C453" s="8" t="s">
        <v>18</v>
      </c>
      <c r="D453" s="8" t="s">
        <v>241</v>
      </c>
      <c r="E453" s="206">
        <v>14</v>
      </c>
      <c r="F453" s="271"/>
      <c r="G453" s="208" t="str">
        <f t="shared" si="3"/>
        <v/>
      </c>
      <c r="H453" s="208" t="str">
        <f t="shared" si="4"/>
        <v/>
      </c>
    </row>
    <row r="454" spans="1:8" ht="15" customHeight="1">
      <c r="A454" s="26"/>
      <c r="B454" s="210" t="s">
        <v>273</v>
      </c>
      <c r="C454" s="28" t="s">
        <v>24</v>
      </c>
      <c r="D454" s="28" t="s">
        <v>241</v>
      </c>
      <c r="E454" s="211">
        <v>15</v>
      </c>
      <c r="F454" s="271"/>
      <c r="G454" s="208" t="str">
        <f t="shared" si="3"/>
        <v/>
      </c>
      <c r="H454" s="208" t="str">
        <f t="shared" si="4"/>
        <v/>
      </c>
    </row>
    <row r="455" spans="1:8" ht="15" customHeight="1">
      <c r="A455" s="26"/>
      <c r="B455" s="203"/>
      <c r="C455" s="203"/>
      <c r="D455" s="203"/>
      <c r="E455" s="203"/>
      <c r="F455" s="203"/>
      <c r="G455" s="203"/>
      <c r="H455" s="209"/>
    </row>
    <row r="456" spans="1:8" ht="15" customHeight="1">
      <c r="A456" s="26"/>
      <c r="B456" s="210" t="s">
        <v>242</v>
      </c>
      <c r="C456" s="28" t="s">
        <v>24</v>
      </c>
      <c r="D456" s="28" t="s">
        <v>243</v>
      </c>
      <c r="E456" s="211">
        <v>18</v>
      </c>
      <c r="F456" s="271"/>
      <c r="G456" s="208" t="str">
        <f>IFERROR(F148/E148,"")</f>
        <v/>
      </c>
      <c r="H456" s="208" t="str">
        <f>IFERROR(F148/F134,"")</f>
        <v/>
      </c>
    </row>
    <row r="457" spans="1:8" ht="15" customHeight="1">
      <c r="A457" s="212"/>
      <c r="B457" s="203"/>
      <c r="C457" s="203"/>
      <c r="D457" s="203"/>
      <c r="E457" s="203"/>
      <c r="F457" s="203"/>
      <c r="G457" s="203"/>
      <c r="H457" s="209"/>
    </row>
    <row r="458" spans="1:8" ht="15" customHeight="1">
      <c r="A458" s="219"/>
      <c r="B458" s="203"/>
      <c r="C458" s="203"/>
      <c r="D458" s="203"/>
      <c r="E458" s="203"/>
      <c r="F458" s="203"/>
      <c r="G458" s="203"/>
      <c r="H458" s="209"/>
    </row>
    <row r="459" spans="1:8" ht="15" customHeight="1">
      <c r="A459" s="226"/>
      <c r="B459" s="203"/>
      <c r="C459" s="203"/>
      <c r="D459" s="203"/>
      <c r="E459" s="203"/>
      <c r="F459" s="203"/>
      <c r="G459" s="203"/>
      <c r="H459" s="209"/>
    </row>
    <row r="460" spans="1:8" ht="15" customHeight="1">
      <c r="A460" s="10"/>
      <c r="B460" s="203"/>
      <c r="C460" s="203"/>
      <c r="D460" s="203"/>
      <c r="E460" s="203"/>
      <c r="F460" s="203"/>
      <c r="G460" s="203"/>
      <c r="H460" s="209"/>
    </row>
    <row r="461" spans="1:8" ht="15" customHeight="1">
      <c r="A461" s="6"/>
      <c r="B461" s="203"/>
      <c r="C461" s="203"/>
      <c r="D461" s="203"/>
      <c r="E461" s="203"/>
      <c r="F461" s="203"/>
      <c r="G461" s="203"/>
      <c r="H461" s="209"/>
    </row>
    <row r="462" spans="1:8" ht="15" customHeight="1">
      <c r="A462" s="284" t="s">
        <v>251</v>
      </c>
    </row>
    <row r="463" spans="1:8" ht="15" customHeight="1">
      <c r="A463" s="236"/>
      <c r="B463" s="256" t="s">
        <v>261</v>
      </c>
      <c r="C463" s="238" t="s">
        <v>253</v>
      </c>
      <c r="D463" s="239" t="s">
        <v>259</v>
      </c>
      <c r="E463" s="238" t="s">
        <v>72</v>
      </c>
      <c r="F463" s="276">
        <v>39</v>
      </c>
      <c r="G463" s="241"/>
      <c r="H463" s="241"/>
    </row>
    <row r="464" spans="1:8" ht="15" customHeight="1">
      <c r="A464" s="236"/>
      <c r="B464" s="237" t="s">
        <v>252</v>
      </c>
      <c r="C464" s="238" t="s">
        <v>253</v>
      </c>
      <c r="D464" s="239" t="s">
        <v>254</v>
      </c>
      <c r="E464" s="238" t="s">
        <v>72</v>
      </c>
      <c r="F464" s="276">
        <v>25</v>
      </c>
      <c r="G464" s="241"/>
      <c r="H464" s="241"/>
    </row>
    <row r="465" spans="1:8" ht="26.25" customHeight="1">
      <c r="A465" s="236"/>
      <c r="B465" s="237" t="s">
        <v>255</v>
      </c>
      <c r="C465" s="238" t="s">
        <v>253</v>
      </c>
      <c r="D465" s="238" t="s">
        <v>35</v>
      </c>
      <c r="E465" s="238" t="s">
        <v>72</v>
      </c>
      <c r="F465" s="290">
        <v>5.7000000000000002E-2</v>
      </c>
      <c r="G465" s="241"/>
      <c r="H465" s="241"/>
    </row>
    <row r="466" spans="1:8" ht="15" customHeight="1">
      <c r="A466" s="236"/>
      <c r="B466" s="237" t="s">
        <v>256</v>
      </c>
      <c r="C466" s="238" t="s">
        <v>253</v>
      </c>
      <c r="D466" s="239" t="s">
        <v>241</v>
      </c>
      <c r="E466" s="238" t="s">
        <v>72</v>
      </c>
      <c r="F466" s="276">
        <v>13</v>
      </c>
      <c r="G466" s="241"/>
      <c r="H466" s="241"/>
    </row>
    <row r="467" spans="1:8" ht="15" customHeight="1">
      <c r="A467" s="236"/>
      <c r="B467" s="277" t="s">
        <v>266</v>
      </c>
      <c r="C467" s="238" t="s">
        <v>253</v>
      </c>
      <c r="D467" s="239" t="s">
        <v>241</v>
      </c>
      <c r="E467" s="238" t="s">
        <v>72</v>
      </c>
      <c r="F467" s="276">
        <v>2</v>
      </c>
      <c r="G467" s="241"/>
      <c r="H467" s="241"/>
    </row>
    <row r="468" spans="1:8" ht="15" customHeight="1">
      <c r="A468" s="242" t="s">
        <v>257</v>
      </c>
      <c r="B468" s="203"/>
      <c r="C468" s="203"/>
      <c r="D468" s="203"/>
      <c r="E468" s="203"/>
      <c r="F468" s="203"/>
      <c r="G468" s="203"/>
      <c r="H468" s="203"/>
    </row>
    <row r="469" spans="1:8" ht="15" customHeight="1">
      <c r="A469" s="243"/>
      <c r="B469" s="285" t="s">
        <v>274</v>
      </c>
      <c r="C469" s="286" t="s">
        <v>221</v>
      </c>
      <c r="D469" s="286" t="s">
        <v>27</v>
      </c>
      <c r="E469" s="287">
        <v>1385752</v>
      </c>
      <c r="F469" s="260"/>
      <c r="G469" s="217" t="str">
        <f t="shared" ref="G469:G475" si="5">IFERROR(F192/E192,"")</f>
        <v/>
      </c>
      <c r="H469" s="225"/>
    </row>
    <row r="470" spans="1:8" ht="15" customHeight="1">
      <c r="A470" s="244"/>
      <c r="B470" s="257" t="s">
        <v>222</v>
      </c>
      <c r="C470" s="258" t="s">
        <v>221</v>
      </c>
      <c r="D470" s="258" t="s">
        <v>27</v>
      </c>
      <c r="E470" s="259">
        <v>438112</v>
      </c>
      <c r="F470" s="260"/>
      <c r="G470" s="217" t="str">
        <f t="shared" si="5"/>
        <v/>
      </c>
      <c r="H470" s="225"/>
    </row>
    <row r="471" spans="1:8" ht="15" customHeight="1">
      <c r="A471" s="245"/>
      <c r="B471" s="261" t="s">
        <v>223</v>
      </c>
      <c r="C471" s="262" t="s">
        <v>221</v>
      </c>
      <c r="D471" s="262" t="s">
        <v>27</v>
      </c>
      <c r="E471" s="263">
        <v>332468</v>
      </c>
      <c r="F471" s="260"/>
      <c r="G471" s="217">
        <f t="shared" si="5"/>
        <v>0</v>
      </c>
      <c r="H471" s="225"/>
    </row>
    <row r="472" spans="1:8" ht="15" customHeight="1">
      <c r="A472" s="246"/>
      <c r="B472" s="264" t="s">
        <v>220</v>
      </c>
      <c r="C472" s="265" t="s">
        <v>221</v>
      </c>
      <c r="D472" s="265" t="s">
        <v>27</v>
      </c>
      <c r="E472" s="266">
        <v>196341</v>
      </c>
      <c r="F472" s="260"/>
      <c r="G472" s="217" t="str">
        <f t="shared" si="5"/>
        <v/>
      </c>
      <c r="H472" s="225"/>
    </row>
    <row r="473" spans="1:8" ht="15" customHeight="1">
      <c r="A473" s="219"/>
      <c r="B473" s="267" t="s">
        <v>224</v>
      </c>
      <c r="C473" s="268" t="s">
        <v>221</v>
      </c>
      <c r="D473" s="268" t="s">
        <v>27</v>
      </c>
      <c r="E473" s="269">
        <v>285780</v>
      </c>
      <c r="F473" s="260"/>
      <c r="G473" s="217" t="str">
        <f t="shared" si="5"/>
        <v/>
      </c>
      <c r="H473" s="225"/>
    </row>
    <row r="474" spans="1:8" ht="15" customHeight="1">
      <c r="A474" s="247"/>
      <c r="B474" s="281" t="s">
        <v>225</v>
      </c>
      <c r="C474" s="288" t="s">
        <v>221</v>
      </c>
      <c r="D474" s="288" t="s">
        <v>27</v>
      </c>
      <c r="E474" s="283">
        <v>0</v>
      </c>
      <c r="F474" s="260"/>
      <c r="G474" s="217" t="str">
        <f t="shared" si="5"/>
        <v/>
      </c>
      <c r="H474" s="225"/>
    </row>
    <row r="475" spans="1:8" ht="15" customHeight="1">
      <c r="A475" s="236"/>
      <c r="B475" s="252" t="s">
        <v>226</v>
      </c>
      <c r="C475" s="239" t="s">
        <v>221</v>
      </c>
      <c r="D475" s="239" t="s">
        <v>27</v>
      </c>
      <c r="E475" s="253">
        <v>133050</v>
      </c>
      <c r="F475" s="260"/>
      <c r="G475" s="217" t="str">
        <f t="shared" si="5"/>
        <v/>
      </c>
      <c r="H475" s="225"/>
    </row>
    <row r="476" spans="1:8" ht="15" customHeight="1">
      <c r="A476" s="289" t="s">
        <v>251</v>
      </c>
    </row>
    <row r="477" spans="1:8" ht="15" customHeight="1">
      <c r="A477" s="250"/>
      <c r="B477" s="278" t="s">
        <v>277</v>
      </c>
      <c r="C477" s="273" t="s">
        <v>253</v>
      </c>
      <c r="D477" s="274" t="s">
        <v>32</v>
      </c>
      <c r="E477" s="279">
        <v>100</v>
      </c>
      <c r="F477" s="240"/>
      <c r="G477" s="208">
        <f t="shared" ref="G477:G484" si="6">IFERROR(F236/E236,"")</f>
        <v>0</v>
      </c>
      <c r="H477" s="254"/>
    </row>
    <row r="478" spans="1:8" ht="15" customHeight="1">
      <c r="A478" s="63"/>
      <c r="B478" s="252" t="s">
        <v>258</v>
      </c>
      <c r="C478" s="44" t="s">
        <v>253</v>
      </c>
      <c r="D478" s="28" t="s">
        <v>259</v>
      </c>
      <c r="E478" s="253">
        <v>55000</v>
      </c>
      <c r="F478" s="240"/>
      <c r="G478" s="208" t="str">
        <f t="shared" si="6"/>
        <v/>
      </c>
      <c r="H478" s="254"/>
    </row>
    <row r="479" spans="1:8" ht="15" customHeight="1">
      <c r="A479" s="63"/>
      <c r="B479" s="252" t="s">
        <v>278</v>
      </c>
      <c r="C479" s="44" t="s">
        <v>253</v>
      </c>
      <c r="D479" s="44" t="s">
        <v>279</v>
      </c>
      <c r="E479" s="253">
        <v>5000</v>
      </c>
      <c r="F479" s="240"/>
      <c r="G479" s="208" t="str">
        <f t="shared" si="6"/>
        <v/>
      </c>
      <c r="H479" s="254"/>
    </row>
    <row r="480" spans="1:8" ht="15" customHeight="1">
      <c r="A480" s="250"/>
      <c r="B480" s="278" t="s">
        <v>267</v>
      </c>
      <c r="C480" s="273" t="s">
        <v>253</v>
      </c>
      <c r="D480" s="274" t="s">
        <v>241</v>
      </c>
      <c r="E480" s="279">
        <v>1000</v>
      </c>
      <c r="F480" s="240"/>
      <c r="G480" s="208" t="str">
        <f t="shared" si="6"/>
        <v/>
      </c>
      <c r="H480" s="254"/>
    </row>
    <row r="481" spans="1:8" ht="15" customHeight="1">
      <c r="A481" s="255"/>
      <c r="B481" s="293" t="s">
        <v>261</v>
      </c>
      <c r="C481" s="294" t="s">
        <v>253</v>
      </c>
      <c r="D481" s="295" t="s">
        <v>241</v>
      </c>
      <c r="E481" s="296">
        <v>180</v>
      </c>
      <c r="F481" s="240"/>
      <c r="G481" s="208" t="str">
        <f t="shared" si="6"/>
        <v/>
      </c>
      <c r="H481" s="254"/>
    </row>
    <row r="482" spans="1:8" ht="15" customHeight="1">
      <c r="A482" s="57"/>
      <c r="B482" s="267" t="s">
        <v>268</v>
      </c>
      <c r="C482" s="280" t="s">
        <v>253</v>
      </c>
      <c r="D482" s="20" t="s">
        <v>241</v>
      </c>
      <c r="E482" s="269">
        <v>550</v>
      </c>
      <c r="F482" s="240"/>
      <c r="G482" s="208" t="str">
        <f t="shared" si="6"/>
        <v/>
      </c>
      <c r="H482" s="254"/>
    </row>
    <row r="483" spans="1:8" ht="51.75" customHeight="1">
      <c r="A483" s="60"/>
      <c r="B483" s="281" t="s">
        <v>269</v>
      </c>
      <c r="C483" s="282" t="s">
        <v>253</v>
      </c>
      <c r="D483" s="24" t="s">
        <v>241</v>
      </c>
      <c r="E483" s="283">
        <v>30</v>
      </c>
      <c r="F483" s="240"/>
      <c r="G483" s="208" t="str">
        <f t="shared" si="6"/>
        <v/>
      </c>
      <c r="H483" s="254"/>
    </row>
    <row r="484" spans="1:8" ht="15" customHeight="1">
      <c r="A484" s="250"/>
      <c r="B484" s="272" t="s">
        <v>264</v>
      </c>
      <c r="C484" s="273" t="s">
        <v>253</v>
      </c>
      <c r="D484" s="274" t="s">
        <v>241</v>
      </c>
      <c r="E484" s="275">
        <v>8</v>
      </c>
      <c r="F484" s="240"/>
      <c r="G484" s="208" t="str">
        <f t="shared" si="6"/>
        <v/>
      </c>
      <c r="H484" s="254"/>
    </row>
    <row r="485" spans="1:8" ht="15" customHeight="1"/>
    <row r="486" spans="1:8" ht="15" customHeight="1">
      <c r="A486" s="204" t="s">
        <v>285</v>
      </c>
      <c r="B486" s="203"/>
      <c r="C486" s="203"/>
      <c r="D486" s="203"/>
      <c r="E486" s="203"/>
      <c r="F486" s="203"/>
      <c r="G486" s="203"/>
      <c r="H486" s="203"/>
    </row>
    <row r="487" spans="1:8" ht="26.25" customHeight="1">
      <c r="A487" s="10"/>
      <c r="B487" s="231" t="s">
        <v>271</v>
      </c>
      <c r="C487" s="12" t="s">
        <v>20</v>
      </c>
      <c r="D487" s="35" t="s">
        <v>272</v>
      </c>
      <c r="E487" s="232">
        <v>4200</v>
      </c>
      <c r="F487" s="271"/>
      <c r="G487" s="208" t="str">
        <f t="shared" ref="G487:G495" si="7">IFERROR(F155/E155,"")</f>
        <v/>
      </c>
      <c r="H487" s="208" t="str">
        <f t="shared" ref="H487:H495" si="8">IFERROR(F155/F141,"")</f>
        <v/>
      </c>
    </row>
    <row r="488" spans="1:8" ht="15" customHeight="1">
      <c r="A488" s="10"/>
      <c r="B488" s="231" t="s">
        <v>276</v>
      </c>
      <c r="C488" s="12" t="s">
        <v>20</v>
      </c>
      <c r="D488" s="12" t="s">
        <v>254</v>
      </c>
      <c r="E488" s="232">
        <v>210</v>
      </c>
      <c r="F488" s="271"/>
      <c r="G488" s="208" t="str">
        <f t="shared" si="7"/>
        <v/>
      </c>
      <c r="H488" s="208" t="str">
        <f t="shared" si="8"/>
        <v/>
      </c>
    </row>
    <row r="489" spans="1:8" ht="15" customHeight="1">
      <c r="A489" s="10"/>
      <c r="B489" s="299" t="s">
        <v>282</v>
      </c>
      <c r="C489" s="12" t="s">
        <v>20</v>
      </c>
      <c r="D489" s="35" t="s">
        <v>35</v>
      </c>
      <c r="E489" s="300">
        <v>0.05</v>
      </c>
      <c r="F489" s="301"/>
      <c r="G489" s="208" t="str">
        <f t="shared" si="7"/>
        <v/>
      </c>
      <c r="H489" s="208" t="str">
        <f t="shared" si="8"/>
        <v/>
      </c>
    </row>
    <row r="490" spans="1:8" ht="15" customHeight="1">
      <c r="A490" s="10"/>
      <c r="B490" s="231" t="s">
        <v>283</v>
      </c>
      <c r="C490" s="12" t="s">
        <v>20</v>
      </c>
      <c r="D490" s="12" t="s">
        <v>19</v>
      </c>
      <c r="E490" s="232">
        <v>385</v>
      </c>
      <c r="F490" s="271"/>
      <c r="G490" s="208">
        <f t="shared" si="7"/>
        <v>0</v>
      </c>
      <c r="H490" s="208" t="str">
        <f t="shared" si="8"/>
        <v/>
      </c>
    </row>
    <row r="491" spans="1:8" ht="26.25" customHeight="1">
      <c r="A491" s="6"/>
      <c r="B491" s="205" t="s">
        <v>39</v>
      </c>
      <c r="C491" s="8" t="s">
        <v>18</v>
      </c>
      <c r="D491" s="8" t="s">
        <v>40</v>
      </c>
      <c r="E491" s="206">
        <v>20</v>
      </c>
      <c r="F491" s="271"/>
      <c r="G491" s="208">
        <f t="shared" si="7"/>
        <v>0</v>
      </c>
      <c r="H491" s="208" t="str">
        <f t="shared" si="8"/>
        <v/>
      </c>
    </row>
    <row r="492" spans="1:8" ht="15" customHeight="1">
      <c r="A492" s="6"/>
      <c r="B492" s="205" t="s">
        <v>240</v>
      </c>
      <c r="C492" s="8" t="s">
        <v>18</v>
      </c>
      <c r="D492" s="8" t="s">
        <v>241</v>
      </c>
      <c r="E492" s="206">
        <v>14</v>
      </c>
      <c r="F492" s="271"/>
      <c r="G492" s="208">
        <f t="shared" si="7"/>
        <v>0</v>
      </c>
      <c r="H492" s="208" t="str">
        <f t="shared" si="8"/>
        <v/>
      </c>
    </row>
    <row r="493" spans="1:8" ht="15" customHeight="1">
      <c r="A493" s="26"/>
      <c r="B493" s="210" t="s">
        <v>273</v>
      </c>
      <c r="C493" s="28" t="s">
        <v>24</v>
      </c>
      <c r="D493" s="28" t="s">
        <v>241</v>
      </c>
      <c r="E493" s="211">
        <v>15</v>
      </c>
      <c r="F493" s="271"/>
      <c r="G493" s="208">
        <f t="shared" si="7"/>
        <v>0</v>
      </c>
      <c r="H493" s="208" t="str">
        <f t="shared" si="8"/>
        <v/>
      </c>
    </row>
    <row r="494" spans="1:8" ht="15" customHeight="1">
      <c r="A494" s="26"/>
      <c r="B494" s="210" t="s">
        <v>44</v>
      </c>
      <c r="C494" s="28" t="s">
        <v>24</v>
      </c>
      <c r="D494" s="28" t="s">
        <v>241</v>
      </c>
      <c r="E494" s="211">
        <v>5</v>
      </c>
      <c r="F494" s="271"/>
      <c r="G494" s="208" t="str">
        <f t="shared" si="7"/>
        <v/>
      </c>
      <c r="H494" s="208" t="str">
        <f t="shared" si="8"/>
        <v/>
      </c>
    </row>
    <row r="495" spans="1:8" ht="26.25" customHeight="1">
      <c r="A495" s="26"/>
      <c r="B495" s="210" t="s">
        <v>242</v>
      </c>
      <c r="C495" s="28" t="s">
        <v>24</v>
      </c>
      <c r="D495" s="28" t="s">
        <v>243</v>
      </c>
      <c r="E495" s="211">
        <v>20</v>
      </c>
      <c r="F495" s="271"/>
      <c r="G495" s="208" t="str">
        <f t="shared" si="7"/>
        <v/>
      </c>
      <c r="H495" s="208" t="str">
        <f t="shared" si="8"/>
        <v/>
      </c>
    </row>
    <row r="496" spans="1:8" ht="15" customHeight="1">
      <c r="A496" s="284" t="s">
        <v>251</v>
      </c>
    </row>
    <row r="497" spans="1:8" ht="57.75" customHeight="1">
      <c r="A497" s="236"/>
      <c r="B497" s="256" t="s">
        <v>261</v>
      </c>
      <c r="C497" s="238" t="s">
        <v>253</v>
      </c>
      <c r="D497" s="239" t="s">
        <v>259</v>
      </c>
      <c r="E497" s="238" t="s">
        <v>72</v>
      </c>
      <c r="F497" s="276">
        <v>95</v>
      </c>
      <c r="G497" s="241"/>
      <c r="H497" s="241"/>
    </row>
    <row r="498" spans="1:8" ht="15" customHeight="1">
      <c r="A498" s="236"/>
      <c r="B498" s="237" t="s">
        <v>252</v>
      </c>
      <c r="C498" s="238" t="s">
        <v>253</v>
      </c>
      <c r="D498" s="239" t="s">
        <v>254</v>
      </c>
      <c r="E498" s="238" t="s">
        <v>72</v>
      </c>
      <c r="F498" s="276">
        <v>81</v>
      </c>
      <c r="G498" s="241"/>
      <c r="H498" s="241"/>
    </row>
    <row r="499" spans="1:8" ht="15" customHeight="1">
      <c r="A499" s="236"/>
      <c r="B499" s="237" t="s">
        <v>255</v>
      </c>
      <c r="C499" s="238" t="s">
        <v>253</v>
      </c>
      <c r="D499" s="238" t="s">
        <v>35</v>
      </c>
      <c r="E499" s="238" t="s">
        <v>72</v>
      </c>
      <c r="F499" s="290">
        <v>9.5000000000000001E-2</v>
      </c>
      <c r="G499" s="241"/>
      <c r="H499" s="241"/>
    </row>
    <row r="500" spans="1:8" ht="15" customHeight="1">
      <c r="A500" s="236"/>
      <c r="B500" s="237" t="s">
        <v>256</v>
      </c>
      <c r="C500" s="238" t="s">
        <v>253</v>
      </c>
      <c r="D500" s="239" t="s">
        <v>241</v>
      </c>
      <c r="E500" s="238" t="s">
        <v>72</v>
      </c>
      <c r="F500" s="276">
        <v>36</v>
      </c>
      <c r="G500" s="241"/>
      <c r="H500" s="241"/>
    </row>
    <row r="501" spans="1:8" ht="15" customHeight="1">
      <c r="A501" s="212"/>
      <c r="B501" s="213" t="s">
        <v>244</v>
      </c>
      <c r="C501" s="214" t="s">
        <v>245</v>
      </c>
      <c r="D501" s="214" t="s">
        <v>241</v>
      </c>
      <c r="E501" s="215">
        <v>19</v>
      </c>
      <c r="F501" s="215">
        <v>16</v>
      </c>
      <c r="G501" s="217">
        <f>IFERROR(F401/E401,"")</f>
        <v>0.88400000000000001</v>
      </c>
      <c r="H501" s="225"/>
    </row>
    <row r="502" spans="1:8" ht="15" customHeight="1">
      <c r="A502" s="219"/>
      <c r="B502" s="220" t="s">
        <v>246</v>
      </c>
      <c r="C502" s="221" t="s">
        <v>21</v>
      </c>
      <c r="D502" s="222" t="s">
        <v>241</v>
      </c>
      <c r="E502" s="223">
        <v>5</v>
      </c>
      <c r="F502" s="224"/>
      <c r="G502" s="217">
        <f>IFERROR(F402/E402,"")</f>
        <v>0.95799999999999996</v>
      </c>
      <c r="H502" s="225"/>
    </row>
    <row r="503" spans="1:8" ht="15" customHeight="1">
      <c r="A503" s="270" t="s">
        <v>257</v>
      </c>
    </row>
    <row r="504" spans="1:8" ht="15" customHeight="1">
      <c r="A504" s="243"/>
      <c r="B504" s="285" t="s">
        <v>274</v>
      </c>
      <c r="C504" s="286" t="s">
        <v>221</v>
      </c>
      <c r="D504" s="286" t="s">
        <v>27</v>
      </c>
      <c r="E504" s="287">
        <v>1385752</v>
      </c>
      <c r="F504" s="260"/>
      <c r="G504" s="217" t="str">
        <f t="shared" ref="G504:G510" si="9">IFERROR(F207/E207,"")</f>
        <v/>
      </c>
      <c r="H504" s="225"/>
    </row>
    <row r="505" spans="1:8" ht="15" customHeight="1">
      <c r="A505" s="244"/>
      <c r="B505" s="257" t="s">
        <v>222</v>
      </c>
      <c r="C505" s="258" t="s">
        <v>221</v>
      </c>
      <c r="D505" s="258" t="s">
        <v>27</v>
      </c>
      <c r="E505" s="259">
        <v>438112</v>
      </c>
      <c r="F505" s="260"/>
      <c r="G505" s="217" t="str">
        <f t="shared" si="9"/>
        <v/>
      </c>
      <c r="H505" s="225"/>
    </row>
    <row r="506" spans="1:8" ht="15" customHeight="1">
      <c r="A506" s="245"/>
      <c r="B506" s="261" t="s">
        <v>223</v>
      </c>
      <c r="C506" s="262" t="s">
        <v>221</v>
      </c>
      <c r="D506" s="262" t="s">
        <v>27</v>
      </c>
      <c r="E506" s="263">
        <v>332468</v>
      </c>
      <c r="F506" s="260"/>
      <c r="G506" s="217" t="str">
        <f t="shared" si="9"/>
        <v/>
      </c>
      <c r="H506" s="225"/>
    </row>
    <row r="507" spans="1:8" ht="15" customHeight="1">
      <c r="A507" s="246"/>
      <c r="B507" s="264" t="s">
        <v>220</v>
      </c>
      <c r="C507" s="265" t="s">
        <v>221</v>
      </c>
      <c r="D507" s="265" t="s">
        <v>27</v>
      </c>
      <c r="E507" s="266">
        <v>196341</v>
      </c>
      <c r="F507" s="260"/>
      <c r="G507" s="217" t="str">
        <f t="shared" si="9"/>
        <v/>
      </c>
      <c r="H507" s="225"/>
    </row>
    <row r="508" spans="1:8" ht="15" customHeight="1">
      <c r="A508" s="219"/>
      <c r="B508" s="267" t="s">
        <v>224</v>
      </c>
      <c r="C508" s="268" t="s">
        <v>221</v>
      </c>
      <c r="D508" s="268" t="s">
        <v>27</v>
      </c>
      <c r="E508" s="269">
        <v>285780</v>
      </c>
      <c r="F508" s="260"/>
      <c r="G508" s="217" t="str">
        <f t="shared" si="9"/>
        <v/>
      </c>
      <c r="H508" s="225"/>
    </row>
    <row r="509" spans="1:8" ht="15" customHeight="1">
      <c r="A509" s="247"/>
      <c r="B509" s="281" t="s">
        <v>225</v>
      </c>
      <c r="C509" s="288" t="s">
        <v>221</v>
      </c>
      <c r="D509" s="288" t="s">
        <v>27</v>
      </c>
      <c r="E509" s="283">
        <v>0</v>
      </c>
      <c r="F509" s="260"/>
      <c r="G509" s="217" t="str">
        <f t="shared" si="9"/>
        <v/>
      </c>
      <c r="H509" s="225"/>
    </row>
    <row r="510" spans="1:8" ht="15" customHeight="1">
      <c r="A510" s="236"/>
      <c r="B510" s="252" t="s">
        <v>226</v>
      </c>
      <c r="C510" s="239" t="s">
        <v>221</v>
      </c>
      <c r="D510" s="239" t="s">
        <v>27</v>
      </c>
      <c r="E510" s="253">
        <v>133050</v>
      </c>
      <c r="F510" s="260"/>
      <c r="G510" s="217" t="str">
        <f t="shared" si="9"/>
        <v/>
      </c>
      <c r="H510" s="225"/>
    </row>
    <row r="511" spans="1:8" ht="15" customHeight="1">
      <c r="A511" s="289" t="s">
        <v>251</v>
      </c>
    </row>
    <row r="512" spans="1:8" ht="15" customHeight="1">
      <c r="A512" s="250"/>
      <c r="B512" s="278" t="s">
        <v>277</v>
      </c>
      <c r="C512" s="273" t="s">
        <v>253</v>
      </c>
      <c r="D512" s="274" t="s">
        <v>32</v>
      </c>
      <c r="E512" s="279">
        <v>120</v>
      </c>
      <c r="F512" s="240"/>
      <c r="G512" s="208" t="str">
        <f t="shared" ref="G512:G519" si="10">IFERROR(F255/E255,"")</f>
        <v/>
      </c>
      <c r="H512" s="254"/>
    </row>
    <row r="513" spans="1:8" ht="15" customHeight="1">
      <c r="A513" s="63"/>
      <c r="B513" s="252" t="s">
        <v>258</v>
      </c>
      <c r="C513" s="44" t="s">
        <v>253</v>
      </c>
      <c r="D513" s="28" t="s">
        <v>259</v>
      </c>
      <c r="E513" s="253">
        <v>65000</v>
      </c>
      <c r="F513" s="240"/>
      <c r="G513" s="208" t="str">
        <f t="shared" si="10"/>
        <v/>
      </c>
      <c r="H513" s="254"/>
    </row>
    <row r="514" spans="1:8" ht="15" customHeight="1">
      <c r="A514" s="63"/>
      <c r="B514" s="252" t="s">
        <v>278</v>
      </c>
      <c r="C514" s="44" t="s">
        <v>253</v>
      </c>
      <c r="D514" s="44" t="s">
        <v>279</v>
      </c>
      <c r="E514" s="253">
        <v>6000</v>
      </c>
      <c r="F514" s="240"/>
      <c r="G514" s="208" t="str">
        <f t="shared" si="10"/>
        <v/>
      </c>
      <c r="H514" s="254"/>
    </row>
    <row r="515" spans="1:8" ht="15" customHeight="1">
      <c r="A515" s="250"/>
      <c r="B515" s="278" t="s">
        <v>267</v>
      </c>
      <c r="C515" s="273" t="s">
        <v>253</v>
      </c>
      <c r="D515" s="274" t="s">
        <v>241</v>
      </c>
      <c r="E515" s="279">
        <v>1200</v>
      </c>
      <c r="F515" s="240"/>
      <c r="G515" s="208" t="str">
        <f t="shared" si="10"/>
        <v/>
      </c>
      <c r="H515" s="254"/>
    </row>
    <row r="516" spans="1:8" ht="51.75" customHeight="1">
      <c r="A516" s="255"/>
      <c r="B516" s="293" t="s">
        <v>261</v>
      </c>
      <c r="C516" s="294" t="s">
        <v>253</v>
      </c>
      <c r="D516" s="295" t="s">
        <v>241</v>
      </c>
      <c r="E516" s="296">
        <v>230</v>
      </c>
      <c r="F516" s="240"/>
      <c r="G516" s="208" t="str">
        <f t="shared" si="10"/>
        <v/>
      </c>
      <c r="H516" s="254"/>
    </row>
    <row r="517" spans="1:8" ht="15" customHeight="1">
      <c r="A517" s="57"/>
      <c r="B517" s="267" t="s">
        <v>268</v>
      </c>
      <c r="C517" s="280" t="s">
        <v>253</v>
      </c>
      <c r="D517" s="20" t="s">
        <v>241</v>
      </c>
      <c r="E517" s="269">
        <v>650</v>
      </c>
      <c r="F517" s="240"/>
      <c r="G517" s="208" t="str">
        <f t="shared" si="10"/>
        <v/>
      </c>
      <c r="H517" s="254"/>
    </row>
    <row r="518" spans="1:8" ht="15" customHeight="1">
      <c r="A518" s="60"/>
      <c r="B518" s="281" t="s">
        <v>269</v>
      </c>
      <c r="C518" s="282" t="s">
        <v>253</v>
      </c>
      <c r="D518" s="24" t="s">
        <v>241</v>
      </c>
      <c r="E518" s="283">
        <v>40</v>
      </c>
      <c r="F518" s="240"/>
      <c r="G518" s="208" t="str">
        <f t="shared" si="10"/>
        <v/>
      </c>
      <c r="H518" s="254"/>
    </row>
    <row r="519" spans="1:8" ht="15" customHeight="1">
      <c r="A519" s="250"/>
      <c r="B519" s="272" t="s">
        <v>264</v>
      </c>
      <c r="C519" s="273" t="s">
        <v>253</v>
      </c>
      <c r="D519" s="274" t="s">
        <v>241</v>
      </c>
      <c r="E519" s="275">
        <v>9</v>
      </c>
      <c r="F519" s="240"/>
      <c r="G519" s="208" t="str">
        <f t="shared" si="10"/>
        <v/>
      </c>
      <c r="H519" s="254"/>
    </row>
    <row r="520" spans="1:8" ht="26.25" customHeight="1">
      <c r="A520" s="26"/>
      <c r="B520" s="302" t="s">
        <v>286</v>
      </c>
      <c r="C520" s="28" t="s">
        <v>245</v>
      </c>
      <c r="D520" s="28" t="s">
        <v>241</v>
      </c>
      <c r="E520" s="211">
        <v>7</v>
      </c>
      <c r="F520" s="271"/>
      <c r="G520" s="208" t="str">
        <f>IFERROR(F164/E164,"")</f>
        <v/>
      </c>
      <c r="H520" s="208" t="str">
        <f>IFERROR(F164/F150,"")</f>
        <v/>
      </c>
    </row>
    <row r="521" spans="1:8" ht="15" customHeight="1">
      <c r="A521" s="226"/>
      <c r="B521" s="227" t="s">
        <v>247</v>
      </c>
      <c r="C521" s="228" t="s">
        <v>248</v>
      </c>
      <c r="D521" s="228" t="s">
        <v>27</v>
      </c>
      <c r="E521" s="229">
        <v>4477085</v>
      </c>
      <c r="F521" s="271"/>
      <c r="G521" s="208" t="str">
        <f>IFERROR(F165/E165,"")</f>
        <v/>
      </c>
      <c r="H521" s="208" t="str">
        <f>IFERROR(F165/F151,"")</f>
        <v/>
      </c>
    </row>
    <row r="522" spans="1:8" ht="15" customHeight="1">
      <c r="A522" s="10"/>
      <c r="B522" s="231" t="s">
        <v>249</v>
      </c>
      <c r="C522" s="12" t="s">
        <v>248</v>
      </c>
      <c r="D522" s="12" t="s">
        <v>27</v>
      </c>
      <c r="E522" s="232">
        <v>1423250</v>
      </c>
      <c r="F522" s="271"/>
      <c r="G522" s="208" t="str">
        <f>IFERROR(F166/E166,"")</f>
        <v/>
      </c>
      <c r="H522" s="208" t="str">
        <f>IFERROR(F166/F152,"")</f>
        <v/>
      </c>
    </row>
    <row r="523" spans="1:8" ht="15" customHeight="1">
      <c r="A523" s="6"/>
      <c r="B523" s="203"/>
      <c r="C523" s="203"/>
      <c r="D523" s="203"/>
      <c r="E523" s="203"/>
      <c r="F523" s="203"/>
      <c r="G523" s="203"/>
      <c r="H523" s="209"/>
    </row>
    <row r="525" spans="1:8" ht="102" customHeight="1">
      <c r="A525" s="204" t="s">
        <v>287</v>
      </c>
      <c r="B525" s="203"/>
      <c r="C525" s="203"/>
      <c r="D525" s="203"/>
      <c r="E525" s="203"/>
      <c r="F525" s="203"/>
      <c r="G525" s="203"/>
      <c r="H525" s="203"/>
    </row>
    <row r="526" spans="1:8" ht="26.25" customHeight="1">
      <c r="A526" s="10"/>
      <c r="B526" s="231" t="s">
        <v>271</v>
      </c>
      <c r="C526" s="12" t="s">
        <v>20</v>
      </c>
      <c r="D526" s="35" t="s">
        <v>272</v>
      </c>
      <c r="E526" s="232">
        <v>4200</v>
      </c>
      <c r="F526" s="271"/>
      <c r="G526" s="208" t="str">
        <f t="shared" ref="G526:G534" si="11">IFERROR(F170/E170,"")</f>
        <v/>
      </c>
      <c r="H526" s="208" t="str">
        <f t="shared" ref="H526:H534" si="12">IFERROR(F170/F156,"")</f>
        <v/>
      </c>
    </row>
    <row r="527" spans="1:8" ht="15" customHeight="1">
      <c r="A527" s="10"/>
      <c r="B527" s="231" t="s">
        <v>276</v>
      </c>
      <c r="C527" s="12" t="s">
        <v>20</v>
      </c>
      <c r="D527" s="12" t="s">
        <v>254</v>
      </c>
      <c r="E527" s="232">
        <v>210</v>
      </c>
      <c r="F527" s="271"/>
      <c r="G527" s="208" t="str">
        <f t="shared" si="11"/>
        <v/>
      </c>
      <c r="H527" s="208" t="str">
        <f t="shared" si="12"/>
        <v/>
      </c>
    </row>
    <row r="528" spans="1:8" ht="15" customHeight="1">
      <c r="A528" s="10"/>
      <c r="B528" s="299" t="s">
        <v>282</v>
      </c>
      <c r="C528" s="12" t="s">
        <v>20</v>
      </c>
      <c r="D528" s="35" t="s">
        <v>35</v>
      </c>
      <c r="E528" s="300">
        <v>0.05</v>
      </c>
      <c r="F528" s="301"/>
      <c r="G528" s="208" t="str">
        <f t="shared" si="11"/>
        <v/>
      </c>
      <c r="H528" s="208" t="str">
        <f t="shared" si="12"/>
        <v/>
      </c>
    </row>
    <row r="529" spans="1:8" ht="26.25" customHeight="1">
      <c r="A529" s="10"/>
      <c r="B529" s="231" t="s">
        <v>283</v>
      </c>
      <c r="C529" s="12" t="s">
        <v>20</v>
      </c>
      <c r="D529" s="12" t="s">
        <v>19</v>
      </c>
      <c r="E529" s="232">
        <v>385</v>
      </c>
      <c r="F529" s="271"/>
      <c r="G529" s="208" t="str">
        <f t="shared" si="11"/>
        <v/>
      </c>
      <c r="H529" s="208" t="str">
        <f t="shared" si="12"/>
        <v/>
      </c>
    </row>
    <row r="530" spans="1:8" ht="26.25" customHeight="1">
      <c r="A530" s="6"/>
      <c r="B530" s="205" t="s">
        <v>39</v>
      </c>
      <c r="C530" s="8" t="s">
        <v>18</v>
      </c>
      <c r="D530" s="8" t="s">
        <v>40</v>
      </c>
      <c r="E530" s="206">
        <v>21</v>
      </c>
      <c r="F530" s="271"/>
      <c r="G530" s="208" t="str">
        <f t="shared" si="11"/>
        <v/>
      </c>
      <c r="H530" s="208" t="str">
        <f t="shared" si="12"/>
        <v/>
      </c>
    </row>
    <row r="531" spans="1:8" ht="15" customHeight="1">
      <c r="A531" s="6"/>
      <c r="B531" s="205" t="s">
        <v>240</v>
      </c>
      <c r="C531" s="8" t="s">
        <v>18</v>
      </c>
      <c r="D531" s="8" t="s">
        <v>241</v>
      </c>
      <c r="E531" s="206">
        <v>12</v>
      </c>
      <c r="F531" s="271"/>
      <c r="G531" s="208" t="str">
        <f t="shared" si="11"/>
        <v/>
      </c>
      <c r="H531" s="208" t="str">
        <f t="shared" si="12"/>
        <v/>
      </c>
    </row>
    <row r="532" spans="1:8" ht="26.25" customHeight="1">
      <c r="A532" s="26"/>
      <c r="B532" s="210" t="s">
        <v>273</v>
      </c>
      <c r="C532" s="28" t="s">
        <v>24</v>
      </c>
      <c r="D532" s="28" t="s">
        <v>241</v>
      </c>
      <c r="E532" s="211">
        <v>10</v>
      </c>
      <c r="F532" s="271"/>
      <c r="G532" s="208" t="str">
        <f t="shared" si="11"/>
        <v/>
      </c>
      <c r="H532" s="208" t="str">
        <f t="shared" si="12"/>
        <v/>
      </c>
    </row>
    <row r="533" spans="1:8" ht="26.25" customHeight="1">
      <c r="A533" s="26"/>
      <c r="B533" s="210" t="s">
        <v>44</v>
      </c>
      <c r="C533" s="28" t="s">
        <v>24</v>
      </c>
      <c r="D533" s="28" t="s">
        <v>241</v>
      </c>
      <c r="E533" s="211">
        <v>3</v>
      </c>
      <c r="F533" s="271"/>
      <c r="G533" s="208" t="str">
        <f t="shared" si="11"/>
        <v/>
      </c>
      <c r="H533" s="208" t="str">
        <f t="shared" si="12"/>
        <v/>
      </c>
    </row>
    <row r="534" spans="1:8" ht="26.25" customHeight="1">
      <c r="A534" s="26"/>
      <c r="B534" s="210" t="s">
        <v>242</v>
      </c>
      <c r="C534" s="28" t="s">
        <v>24</v>
      </c>
      <c r="D534" s="28" t="s">
        <v>243</v>
      </c>
      <c r="E534" s="211">
        <v>22</v>
      </c>
      <c r="F534" s="271"/>
      <c r="G534" s="208" t="str">
        <f t="shared" si="11"/>
        <v/>
      </c>
      <c r="H534" s="208" t="str">
        <f t="shared" si="12"/>
        <v/>
      </c>
    </row>
    <row r="535" spans="1:8" ht="15" customHeight="1">
      <c r="A535" s="284" t="s">
        <v>251</v>
      </c>
    </row>
    <row r="536" spans="1:8" ht="57.75" customHeight="1">
      <c r="A536" s="236"/>
      <c r="B536" s="256" t="s">
        <v>261</v>
      </c>
      <c r="C536" s="238" t="s">
        <v>253</v>
      </c>
      <c r="D536" s="239" t="s">
        <v>259</v>
      </c>
      <c r="E536" s="238" t="s">
        <v>72</v>
      </c>
      <c r="F536" s="276">
        <v>131</v>
      </c>
      <c r="G536" s="241"/>
      <c r="H536" s="241"/>
    </row>
    <row r="537" spans="1:8" ht="15" customHeight="1">
      <c r="A537" s="236"/>
      <c r="B537" s="237" t="s">
        <v>252</v>
      </c>
      <c r="C537" s="238" t="s">
        <v>253</v>
      </c>
      <c r="D537" s="239" t="s">
        <v>254</v>
      </c>
      <c r="E537" s="238" t="s">
        <v>72</v>
      </c>
      <c r="F537" s="276">
        <v>66</v>
      </c>
      <c r="G537" s="241"/>
      <c r="H537" s="241"/>
    </row>
    <row r="538" spans="1:8" ht="15" customHeight="1">
      <c r="A538" s="236"/>
      <c r="B538" s="237" t="s">
        <v>255</v>
      </c>
      <c r="C538" s="238" t="s">
        <v>253</v>
      </c>
      <c r="D538" s="238" t="s">
        <v>35</v>
      </c>
      <c r="E538" s="238" t="s">
        <v>72</v>
      </c>
      <c r="F538" s="290">
        <v>8.7999999999999995E-2</v>
      </c>
      <c r="G538" s="241"/>
      <c r="H538" s="241"/>
    </row>
    <row r="539" spans="1:8" ht="15" customHeight="1">
      <c r="A539" s="236"/>
      <c r="B539" s="237" t="s">
        <v>256</v>
      </c>
      <c r="C539" s="238" t="s">
        <v>253</v>
      </c>
      <c r="D539" s="239" t="s">
        <v>241</v>
      </c>
      <c r="E539" s="238" t="s">
        <v>72</v>
      </c>
      <c r="F539" s="276">
        <v>17</v>
      </c>
      <c r="G539" s="241"/>
      <c r="H539" s="241"/>
    </row>
    <row r="540" spans="1:8" ht="15" customHeight="1">
      <c r="A540" s="212"/>
      <c r="B540" s="213" t="s">
        <v>244</v>
      </c>
      <c r="C540" s="214" t="s">
        <v>245</v>
      </c>
      <c r="D540" s="214" t="s">
        <v>241</v>
      </c>
      <c r="E540" s="215">
        <v>19</v>
      </c>
      <c r="F540" s="215">
        <v>16</v>
      </c>
      <c r="G540" s="217">
        <f>IFERROR(F439/E439,"")</f>
        <v>0</v>
      </c>
      <c r="H540" s="225"/>
    </row>
    <row r="541" spans="1:8" ht="15" customHeight="1">
      <c r="A541" s="219"/>
      <c r="B541" s="220" t="s">
        <v>246</v>
      </c>
      <c r="C541" s="221" t="s">
        <v>21</v>
      </c>
      <c r="D541" s="222" t="s">
        <v>241</v>
      </c>
      <c r="E541" s="223">
        <v>5</v>
      </c>
      <c r="F541" s="224"/>
      <c r="G541" s="217" t="str">
        <f>IFERROR(F440/E440,"")</f>
        <v/>
      </c>
      <c r="H541" s="225"/>
    </row>
    <row r="542" spans="1:8" ht="15" customHeight="1">
      <c r="A542" s="270" t="s">
        <v>257</v>
      </c>
    </row>
    <row r="543" spans="1:8" ht="15" customHeight="1">
      <c r="A543" s="243"/>
      <c r="B543" s="285" t="s">
        <v>274</v>
      </c>
      <c r="C543" s="286" t="s">
        <v>221</v>
      </c>
      <c r="D543" s="286" t="s">
        <v>27</v>
      </c>
      <c r="E543" s="287">
        <v>1353989</v>
      </c>
      <c r="F543" s="260"/>
      <c r="G543" s="217" t="str">
        <f t="shared" ref="G543:G549" si="13">IFERROR(F226/E226,"")</f>
        <v/>
      </c>
      <c r="H543" s="225"/>
    </row>
    <row r="544" spans="1:8" ht="15" customHeight="1">
      <c r="A544" s="244"/>
      <c r="B544" s="257" t="s">
        <v>222</v>
      </c>
      <c r="C544" s="258" t="s">
        <v>221</v>
      </c>
      <c r="D544" s="258" t="s">
        <v>27</v>
      </c>
      <c r="E544" s="259">
        <v>438112</v>
      </c>
      <c r="F544" s="260"/>
      <c r="G544" s="217" t="str">
        <f t="shared" si="13"/>
        <v/>
      </c>
      <c r="H544" s="225"/>
    </row>
    <row r="545" spans="1:8" ht="15" customHeight="1">
      <c r="A545" s="245"/>
      <c r="B545" s="261" t="s">
        <v>223</v>
      </c>
      <c r="C545" s="262" t="s">
        <v>221</v>
      </c>
      <c r="D545" s="262" t="s">
        <v>27</v>
      </c>
      <c r="E545" s="263">
        <v>332468</v>
      </c>
      <c r="F545" s="260"/>
      <c r="G545" s="217" t="str">
        <f t="shared" si="13"/>
        <v/>
      </c>
      <c r="H545" s="225"/>
    </row>
    <row r="546" spans="1:8" ht="15" customHeight="1">
      <c r="A546" s="246"/>
      <c r="B546" s="264" t="s">
        <v>220</v>
      </c>
      <c r="C546" s="265" t="s">
        <v>221</v>
      </c>
      <c r="D546" s="265" t="s">
        <v>27</v>
      </c>
      <c r="E546" s="266">
        <v>196341</v>
      </c>
      <c r="F546" s="260"/>
      <c r="G546" s="217" t="str">
        <f t="shared" si="13"/>
        <v/>
      </c>
      <c r="H546" s="225"/>
    </row>
    <row r="547" spans="1:8" ht="15" customHeight="1">
      <c r="A547" s="219"/>
      <c r="B547" s="267" t="s">
        <v>224</v>
      </c>
      <c r="C547" s="268" t="s">
        <v>221</v>
      </c>
      <c r="D547" s="268" t="s">
        <v>27</v>
      </c>
      <c r="E547" s="269">
        <v>285780</v>
      </c>
      <c r="F547" s="260"/>
      <c r="G547" s="217" t="str">
        <f t="shared" si="13"/>
        <v/>
      </c>
      <c r="H547" s="225"/>
    </row>
    <row r="548" spans="1:8" ht="15" customHeight="1">
      <c r="A548" s="247"/>
      <c r="B548" s="281" t="s">
        <v>225</v>
      </c>
      <c r="C548" s="288" t="s">
        <v>221</v>
      </c>
      <c r="D548" s="288" t="s">
        <v>27</v>
      </c>
      <c r="E548" s="283">
        <v>0</v>
      </c>
      <c r="F548" s="260"/>
      <c r="G548" s="217" t="str">
        <f t="shared" si="13"/>
        <v/>
      </c>
      <c r="H548" s="225"/>
    </row>
    <row r="549" spans="1:8" ht="15" customHeight="1">
      <c r="A549" s="236"/>
      <c r="B549" s="252" t="s">
        <v>226</v>
      </c>
      <c r="C549" s="239" t="s">
        <v>221</v>
      </c>
      <c r="D549" s="239" t="s">
        <v>27</v>
      </c>
      <c r="E549" s="253">
        <v>101288</v>
      </c>
      <c r="F549" s="260"/>
      <c r="G549" s="217" t="str">
        <f t="shared" si="13"/>
        <v/>
      </c>
      <c r="H549" s="225"/>
    </row>
    <row r="550" spans="1:8" ht="15" customHeight="1">
      <c r="A550" s="289" t="s">
        <v>251</v>
      </c>
    </row>
    <row r="551" spans="1:8" ht="15" customHeight="1">
      <c r="A551" s="250"/>
      <c r="B551" s="278" t="s">
        <v>277</v>
      </c>
      <c r="C551" s="273" t="s">
        <v>253</v>
      </c>
      <c r="D551" s="274" t="s">
        <v>32</v>
      </c>
      <c r="E551" s="279">
        <v>100</v>
      </c>
      <c r="F551" s="240"/>
      <c r="G551" s="208" t="str">
        <f t="shared" ref="G551:G558" si="14">IFERROR(F278/E278,"")</f>
        <v/>
      </c>
      <c r="H551" s="254"/>
    </row>
    <row r="552" spans="1:8" ht="15" customHeight="1">
      <c r="A552" s="63"/>
      <c r="B552" s="252" t="s">
        <v>258</v>
      </c>
      <c r="C552" s="44" t="s">
        <v>253</v>
      </c>
      <c r="D552" s="28" t="s">
        <v>259</v>
      </c>
      <c r="E552" s="253">
        <v>55000</v>
      </c>
      <c r="F552" s="240"/>
      <c r="G552" s="208" t="str">
        <f t="shared" si="14"/>
        <v/>
      </c>
      <c r="H552" s="254"/>
    </row>
    <row r="553" spans="1:8" ht="15" customHeight="1">
      <c r="A553" s="63"/>
      <c r="B553" s="252" t="s">
        <v>278</v>
      </c>
      <c r="C553" s="44" t="s">
        <v>253</v>
      </c>
      <c r="D553" s="44" t="s">
        <v>279</v>
      </c>
      <c r="E553" s="253">
        <v>5000</v>
      </c>
      <c r="F553" s="240"/>
      <c r="G553" s="208" t="str">
        <f t="shared" si="14"/>
        <v/>
      </c>
      <c r="H553" s="254"/>
    </row>
    <row r="554" spans="1:8" ht="15" customHeight="1">
      <c r="A554" s="250"/>
      <c r="B554" s="278" t="s">
        <v>267</v>
      </c>
      <c r="C554" s="273" t="s">
        <v>253</v>
      </c>
      <c r="D554" s="274" t="s">
        <v>241</v>
      </c>
      <c r="E554" s="279">
        <v>1000</v>
      </c>
      <c r="F554" s="240"/>
      <c r="G554" s="208" t="str">
        <f t="shared" si="14"/>
        <v/>
      </c>
      <c r="H554" s="254"/>
    </row>
    <row r="555" spans="1:8" ht="51.75" customHeight="1">
      <c r="A555" s="255"/>
      <c r="B555" s="293" t="s">
        <v>261</v>
      </c>
      <c r="C555" s="294" t="s">
        <v>253</v>
      </c>
      <c r="D555" s="295" t="s">
        <v>241</v>
      </c>
      <c r="E555" s="296">
        <v>180</v>
      </c>
      <c r="F555" s="240"/>
      <c r="G555" s="208" t="str">
        <f t="shared" si="14"/>
        <v/>
      </c>
      <c r="H555" s="254"/>
    </row>
    <row r="556" spans="1:8" ht="15" customHeight="1">
      <c r="A556" s="57"/>
      <c r="B556" s="267" t="s">
        <v>268</v>
      </c>
      <c r="C556" s="280" t="s">
        <v>253</v>
      </c>
      <c r="D556" s="20" t="s">
        <v>241</v>
      </c>
      <c r="E556" s="269">
        <v>550</v>
      </c>
      <c r="F556" s="240"/>
      <c r="G556" s="208">
        <f t="shared" si="14"/>
        <v>0</v>
      </c>
      <c r="H556" s="254"/>
    </row>
    <row r="557" spans="1:8" ht="15" customHeight="1">
      <c r="A557" s="60"/>
      <c r="B557" s="281" t="s">
        <v>269</v>
      </c>
      <c r="C557" s="282" t="s">
        <v>253</v>
      </c>
      <c r="D557" s="24" t="s">
        <v>241</v>
      </c>
      <c r="E557" s="283">
        <v>30</v>
      </c>
      <c r="F557" s="240"/>
      <c r="G557" s="208" t="str">
        <f t="shared" si="14"/>
        <v/>
      </c>
      <c r="H557" s="254"/>
    </row>
    <row r="558" spans="1:8" ht="15" customHeight="1">
      <c r="A558" s="250"/>
      <c r="B558" s="272" t="s">
        <v>264</v>
      </c>
      <c r="C558" s="273" t="s">
        <v>253</v>
      </c>
      <c r="D558" s="274" t="s">
        <v>241</v>
      </c>
      <c r="E558" s="275">
        <v>8</v>
      </c>
      <c r="F558" s="240"/>
      <c r="G558" s="208">
        <f t="shared" si="14"/>
        <v>0</v>
      </c>
      <c r="H558" s="254"/>
    </row>
    <row r="559" spans="1:8" ht="26.25" customHeight="1">
      <c r="A559" s="26"/>
      <c r="B559" s="302" t="s">
        <v>286</v>
      </c>
      <c r="C559" s="28" t="s">
        <v>245</v>
      </c>
      <c r="D559" s="28" t="s">
        <v>241</v>
      </c>
      <c r="E559" s="211">
        <v>5</v>
      </c>
      <c r="F559" s="271"/>
      <c r="G559" s="208" t="str">
        <f>IFERROR(F179/E179,"")</f>
        <v/>
      </c>
      <c r="H559" s="208" t="str">
        <f>IFERROR(F179/F165,"")</f>
        <v/>
      </c>
    </row>
    <row r="560" spans="1:8" ht="15" customHeight="1">
      <c r="A560" s="226"/>
      <c r="B560" s="227" t="s">
        <v>247</v>
      </c>
      <c r="C560" s="228" t="s">
        <v>248</v>
      </c>
      <c r="D560" s="228" t="s">
        <v>27</v>
      </c>
      <c r="E560" s="229">
        <v>4380835</v>
      </c>
      <c r="F560" s="271"/>
      <c r="G560" s="208" t="str">
        <f>IFERROR(F180/E180,"")</f>
        <v/>
      </c>
      <c r="H560" s="208" t="str">
        <f>IFERROR(F180/F166,"")</f>
        <v/>
      </c>
    </row>
    <row r="561" spans="1:8" ht="15" customHeight="1">
      <c r="A561" s="10"/>
      <c r="B561" s="231" t="s">
        <v>249</v>
      </c>
      <c r="C561" s="12" t="s">
        <v>248</v>
      </c>
      <c r="D561" s="12" t="s">
        <v>27</v>
      </c>
      <c r="E561" s="232">
        <v>1423250</v>
      </c>
      <c r="F561" s="271"/>
      <c r="G561" s="208" t="str">
        <f>IFERROR(F181/E181,"")</f>
        <v/>
      </c>
      <c r="H561" s="208" t="str">
        <f>IFERROR(F181/F167,"")</f>
        <v/>
      </c>
    </row>
    <row r="562" spans="1:8" ht="15" customHeight="1">
      <c r="A562" s="6"/>
      <c r="B562" s="205" t="s">
        <v>288</v>
      </c>
      <c r="C562" s="8" t="s">
        <v>248</v>
      </c>
      <c r="D562" s="8" t="s">
        <v>27</v>
      </c>
      <c r="E562" s="206">
        <v>638108</v>
      </c>
      <c r="F562" s="271"/>
      <c r="G562" s="208" t="str">
        <f>IFERROR(F182/E182,"")</f>
        <v/>
      </c>
      <c r="H562" s="208" t="str">
        <f>IFERROR(F182/F168,"")</f>
        <v/>
      </c>
    </row>
  </sheetData>
  <mergeCells count="61">
    <mergeCell ref="A368:H368"/>
    <mergeCell ref="A254:H254"/>
    <mergeCell ref="A276:H276"/>
    <mergeCell ref="A277:H277"/>
    <mergeCell ref="A308:H308"/>
    <mergeCell ref="A336:H336"/>
    <mergeCell ref="A206:H206"/>
    <mergeCell ref="A212:H212"/>
    <mergeCell ref="A225:H225"/>
    <mergeCell ref="A235:H235"/>
    <mergeCell ref="A244:H244"/>
    <mergeCell ref="A172:H172"/>
    <mergeCell ref="A180:H180"/>
    <mergeCell ref="A185:H185"/>
    <mergeCell ref="A189:H189"/>
    <mergeCell ref="A191:H191"/>
    <mergeCell ref="A154:H154"/>
    <mergeCell ref="A155:H155"/>
    <mergeCell ref="A166:H166"/>
    <mergeCell ref="A169:H169"/>
    <mergeCell ref="A170:H170"/>
    <mergeCell ref="A139:H139"/>
    <mergeCell ref="A140:H140"/>
    <mergeCell ref="A143:H143"/>
    <mergeCell ref="A148:H148"/>
    <mergeCell ref="A153:H153"/>
    <mergeCell ref="A116:H116"/>
    <mergeCell ref="A120:H120"/>
    <mergeCell ref="A124:H124"/>
    <mergeCell ref="A125:H125"/>
    <mergeCell ref="A134:H134"/>
    <mergeCell ref="A96:H96"/>
    <mergeCell ref="A97:H97"/>
    <mergeCell ref="A109:H109"/>
    <mergeCell ref="A110:H110"/>
    <mergeCell ref="A115:H115"/>
    <mergeCell ref="A79:H79"/>
    <mergeCell ref="A80:H80"/>
    <mergeCell ref="A84:H84"/>
    <mergeCell ref="A94:H94"/>
    <mergeCell ref="A95:H95"/>
    <mergeCell ref="A64:H64"/>
    <mergeCell ref="A65:H65"/>
    <mergeCell ref="A70:H70"/>
    <mergeCell ref="A74:H74"/>
    <mergeCell ref="A77:H77"/>
    <mergeCell ref="A51:H51"/>
    <mergeCell ref="A52:H52"/>
    <mergeCell ref="A54:H54"/>
    <mergeCell ref="A58:H58"/>
    <mergeCell ref="A61:H61"/>
    <mergeCell ref="A38:H38"/>
    <mergeCell ref="A39:H39"/>
    <mergeCell ref="A45:H45"/>
    <mergeCell ref="A49:H49"/>
    <mergeCell ref="A50:H50"/>
    <mergeCell ref="A1:H1"/>
    <mergeCell ref="A2:H2"/>
    <mergeCell ref="A22:H22"/>
    <mergeCell ref="A28:H28"/>
    <mergeCell ref="A29:H29"/>
  </mergeCells>
  <phoneticPr fontId="202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zoomScaleNormal="100" workbookViewId="0">
      <selection sqref="A1:F1"/>
    </sheetView>
  </sheetViews>
  <sheetFormatPr defaultColWidth="8.6640625" defaultRowHeight="14.25"/>
  <cols>
    <col min="1" max="1" width="2" customWidth="1"/>
    <col min="2" max="2" width="26" customWidth="1"/>
    <col min="3" max="6" width="22" customWidth="1"/>
  </cols>
  <sheetData>
    <row r="1" spans="1:6" ht="31.5" customHeight="1">
      <c r="A1" s="658" t="s">
        <v>289</v>
      </c>
      <c r="B1" s="658"/>
      <c r="C1" s="658"/>
      <c r="D1" s="658"/>
      <c r="E1" s="658"/>
      <c r="F1" s="658"/>
    </row>
    <row r="2" spans="1:6" ht="15" customHeight="1">
      <c r="A2" s="659" t="s">
        <v>290</v>
      </c>
      <c r="B2" s="659"/>
      <c r="C2" s="659"/>
      <c r="D2" s="659"/>
      <c r="E2" s="659"/>
      <c r="F2" s="659"/>
    </row>
    <row r="3" spans="1:6" ht="24" customHeight="1">
      <c r="A3" s="303"/>
      <c r="B3" s="304" t="s">
        <v>291</v>
      </c>
      <c r="C3" s="304" t="s">
        <v>292</v>
      </c>
      <c r="D3" s="304" t="s">
        <v>293</v>
      </c>
      <c r="E3" s="304" t="s">
        <v>236</v>
      </c>
      <c r="F3" s="304" t="s">
        <v>294</v>
      </c>
    </row>
    <row r="4" spans="1:6" ht="24" customHeight="1">
      <c r="A4" s="6"/>
      <c r="B4" s="305" t="s">
        <v>295</v>
      </c>
      <c r="C4" s="306" t="s">
        <v>296</v>
      </c>
      <c r="D4" s="306" t="s">
        <v>297</v>
      </c>
      <c r="E4" s="306" t="s">
        <v>297</v>
      </c>
      <c r="F4" s="305" t="s">
        <v>298</v>
      </c>
    </row>
    <row r="5" spans="1:6" ht="24" customHeight="1">
      <c r="A5" s="6"/>
      <c r="B5" s="307" t="s">
        <v>299</v>
      </c>
      <c r="C5" s="307" t="s">
        <v>300</v>
      </c>
      <c r="D5" s="307" t="s">
        <v>301</v>
      </c>
      <c r="E5" s="307" t="s">
        <v>302</v>
      </c>
      <c r="F5" s="308" t="s">
        <v>303</v>
      </c>
    </row>
    <row r="6" spans="1:6" ht="24" customHeight="1">
      <c r="A6" s="6"/>
      <c r="B6" s="306" t="s">
        <v>304</v>
      </c>
      <c r="C6" s="306" t="s">
        <v>305</v>
      </c>
      <c r="D6" s="305" t="s">
        <v>306</v>
      </c>
      <c r="E6" s="306" t="s">
        <v>307</v>
      </c>
      <c r="F6" s="306" t="s">
        <v>308</v>
      </c>
    </row>
    <row r="7" spans="1:6" ht="24" customHeight="1">
      <c r="A7" s="6"/>
      <c r="B7" s="308" t="s">
        <v>309</v>
      </c>
      <c r="C7" s="307" t="s">
        <v>310</v>
      </c>
      <c r="D7" s="307" t="s">
        <v>311</v>
      </c>
      <c r="E7" s="307" t="s">
        <v>311</v>
      </c>
      <c r="F7" s="308" t="s">
        <v>312</v>
      </c>
    </row>
    <row r="9" spans="1:6" ht="24" customHeight="1">
      <c r="A9" s="660" t="s">
        <v>313</v>
      </c>
      <c r="B9" s="660"/>
      <c r="C9" s="660"/>
      <c r="D9" s="660"/>
      <c r="E9" s="660"/>
      <c r="F9" s="660"/>
    </row>
    <row r="10" spans="1:6" ht="30" customHeight="1">
      <c r="A10" s="226"/>
      <c r="B10" s="309" t="s">
        <v>314</v>
      </c>
      <c r="C10" s="310" t="s">
        <v>315</v>
      </c>
      <c r="D10" s="310"/>
      <c r="E10" s="11" t="s">
        <v>316</v>
      </c>
      <c r="F10" s="11"/>
    </row>
    <row r="11" spans="1:6" ht="30" customHeight="1">
      <c r="A11" s="226"/>
      <c r="B11" s="309" t="s">
        <v>317</v>
      </c>
      <c r="C11" s="310" t="s">
        <v>318</v>
      </c>
      <c r="D11" s="310"/>
      <c r="E11" s="11" t="s">
        <v>319</v>
      </c>
      <c r="F11" s="11"/>
    </row>
    <row r="12" spans="1:6" ht="30" customHeight="1">
      <c r="A12" s="226"/>
      <c r="B12" s="311" t="s">
        <v>320</v>
      </c>
      <c r="C12" s="310" t="s">
        <v>321</v>
      </c>
      <c r="D12" s="310"/>
      <c r="E12" s="11" t="s">
        <v>322</v>
      </c>
      <c r="F12" s="11"/>
    </row>
    <row r="13" spans="1:6" ht="30" customHeight="1">
      <c r="A13" s="226"/>
      <c r="B13" s="309" t="s">
        <v>323</v>
      </c>
      <c r="C13" s="312" t="s">
        <v>324</v>
      </c>
      <c r="D13" s="312"/>
      <c r="E13" s="11" t="s">
        <v>325</v>
      </c>
      <c r="F13" s="11"/>
    </row>
    <row r="16" spans="1:6" ht="24" customHeight="1">
      <c r="A16" s="660" t="s">
        <v>326</v>
      </c>
      <c r="B16" s="660"/>
      <c r="C16" s="660"/>
      <c r="D16" s="660"/>
      <c r="E16" s="660"/>
      <c r="F16" s="660"/>
    </row>
    <row r="17" spans="1:6" ht="25.5" customHeight="1">
      <c r="A17" s="313"/>
      <c r="B17" s="314" t="s">
        <v>178</v>
      </c>
      <c r="C17" s="313" t="s">
        <v>327</v>
      </c>
      <c r="D17" s="314" t="s">
        <v>328</v>
      </c>
      <c r="E17" s="314" t="s">
        <v>329</v>
      </c>
      <c r="F17" s="314" t="s">
        <v>330</v>
      </c>
    </row>
    <row r="18" spans="1:6" ht="21.75" customHeight="1">
      <c r="A18" s="10"/>
      <c r="B18" s="315" t="s">
        <v>331</v>
      </c>
      <c r="C18" s="52">
        <v>180</v>
      </c>
      <c r="D18" s="52">
        <v>98</v>
      </c>
      <c r="E18" s="52">
        <v>2000</v>
      </c>
      <c r="F18" s="52">
        <v>10000</v>
      </c>
    </row>
    <row r="19" spans="1:6" ht="21.75" customHeight="1">
      <c r="A19" s="10"/>
      <c r="B19" s="316" t="s">
        <v>332</v>
      </c>
      <c r="C19" s="317">
        <v>180</v>
      </c>
      <c r="D19" s="317">
        <v>98</v>
      </c>
      <c r="E19" s="317">
        <v>2000</v>
      </c>
      <c r="F19" s="317">
        <v>10000</v>
      </c>
    </row>
    <row r="20" spans="1:6" ht="21.75" customHeight="1">
      <c r="A20" s="10"/>
      <c r="B20" s="315" t="s">
        <v>333</v>
      </c>
      <c r="C20" s="52">
        <v>540</v>
      </c>
      <c r="D20" s="52">
        <v>295</v>
      </c>
      <c r="E20" s="52">
        <v>5900</v>
      </c>
      <c r="F20" s="52">
        <v>29500</v>
      </c>
    </row>
    <row r="21" spans="1:6" ht="21.75" customHeight="1">
      <c r="A21" s="10"/>
      <c r="B21" s="316" t="s">
        <v>334</v>
      </c>
      <c r="C21" s="317">
        <v>270</v>
      </c>
      <c r="D21" s="317">
        <v>148</v>
      </c>
      <c r="E21" s="317">
        <v>3000</v>
      </c>
      <c r="F21" s="317">
        <v>15000</v>
      </c>
    </row>
    <row r="22" spans="1:6" ht="21.75" customHeight="1">
      <c r="A22" s="10"/>
      <c r="B22" s="315" t="s">
        <v>335</v>
      </c>
      <c r="C22" s="52">
        <v>432</v>
      </c>
      <c r="D22" s="52">
        <v>236</v>
      </c>
      <c r="E22" s="52">
        <v>4700</v>
      </c>
      <c r="F22" s="52">
        <v>23500</v>
      </c>
    </row>
    <row r="23" spans="1:6" ht="21.75" customHeight="1">
      <c r="A23" s="10"/>
      <c r="B23" s="316" t="s">
        <v>336</v>
      </c>
      <c r="C23" s="317">
        <v>315</v>
      </c>
      <c r="D23" s="317">
        <v>172</v>
      </c>
      <c r="E23" s="317">
        <v>3400</v>
      </c>
      <c r="F23" s="317">
        <v>17000</v>
      </c>
    </row>
    <row r="24" spans="1:6" ht="21.75" customHeight="1">
      <c r="A24" s="10"/>
      <c r="B24" s="315" t="s">
        <v>337</v>
      </c>
      <c r="C24" s="52">
        <v>385</v>
      </c>
      <c r="D24" s="52">
        <v>210</v>
      </c>
      <c r="E24" s="52">
        <v>4200</v>
      </c>
      <c r="F24" s="52">
        <v>21000</v>
      </c>
    </row>
    <row r="25" spans="1:6" ht="21.75" customHeight="1">
      <c r="A25" s="10"/>
      <c r="B25" s="316" t="s">
        <v>338</v>
      </c>
      <c r="C25" s="317">
        <v>502</v>
      </c>
      <c r="D25" s="317">
        <v>274</v>
      </c>
      <c r="E25" s="317">
        <v>5500</v>
      </c>
      <c r="F25" s="317">
        <v>27500</v>
      </c>
    </row>
    <row r="26" spans="1:6" ht="21.75" customHeight="1">
      <c r="A26" s="10"/>
      <c r="B26" s="315" t="s">
        <v>339</v>
      </c>
      <c r="C26" s="52">
        <v>385</v>
      </c>
      <c r="D26" s="52">
        <v>210</v>
      </c>
      <c r="E26" s="52">
        <v>4200</v>
      </c>
      <c r="F26" s="52">
        <v>21000</v>
      </c>
    </row>
    <row r="27" spans="1:6" ht="21.75" customHeight="1">
      <c r="A27" s="10"/>
      <c r="B27" s="316" t="s">
        <v>340</v>
      </c>
      <c r="C27" s="317">
        <v>385</v>
      </c>
      <c r="D27" s="317">
        <v>210</v>
      </c>
      <c r="E27" s="317">
        <v>4200</v>
      </c>
      <c r="F27" s="317">
        <v>21000</v>
      </c>
    </row>
    <row r="28" spans="1:6" ht="21.75" customHeight="1">
      <c r="A28" s="10"/>
      <c r="B28" s="315" t="s">
        <v>341</v>
      </c>
      <c r="C28" s="52">
        <v>385</v>
      </c>
      <c r="D28" s="52">
        <v>210</v>
      </c>
      <c r="E28" s="52">
        <v>4200</v>
      </c>
      <c r="F28" s="52">
        <v>21000</v>
      </c>
    </row>
    <row r="29" spans="1:6" ht="21.75" customHeight="1">
      <c r="A29" s="10"/>
      <c r="B29" s="316" t="s">
        <v>342</v>
      </c>
      <c r="C29" s="317">
        <v>385</v>
      </c>
      <c r="D29" s="317">
        <v>210</v>
      </c>
      <c r="E29" s="317">
        <v>4200</v>
      </c>
      <c r="F29" s="317">
        <v>21000</v>
      </c>
    </row>
  </sheetData>
  <mergeCells count="4">
    <mergeCell ref="A1:F1"/>
    <mergeCell ref="A2:F2"/>
    <mergeCell ref="A9:F9"/>
    <mergeCell ref="A16:F16"/>
  </mergeCells>
  <phoneticPr fontId="202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zoomScaleNormal="100" workbookViewId="0">
      <selection sqref="A1:N1"/>
    </sheetView>
  </sheetViews>
  <sheetFormatPr defaultColWidth="8.6640625" defaultRowHeight="14.25"/>
  <cols>
    <col min="1" max="1" width="2" customWidth="1"/>
    <col min="2" max="2" width="22" customWidth="1"/>
    <col min="3" max="13" width="9" customWidth="1"/>
    <col min="14" max="14" width="22" customWidth="1"/>
  </cols>
  <sheetData>
    <row r="1" spans="1:14" ht="30" customHeight="1">
      <c r="A1" s="661" t="s">
        <v>343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</row>
    <row r="3" spans="1:14" ht="27.75" customHeight="1">
      <c r="A3" s="662" t="s">
        <v>344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</row>
    <row r="4" spans="1:14" ht="21.75" customHeight="1">
      <c r="A4" s="318"/>
      <c r="B4" s="319" t="s">
        <v>345</v>
      </c>
      <c r="C4" s="320" t="s">
        <v>3</v>
      </c>
      <c r="D4" s="319" t="s">
        <v>8</v>
      </c>
      <c r="E4" s="319" t="s">
        <v>9</v>
      </c>
      <c r="F4" s="319" t="s">
        <v>10</v>
      </c>
      <c r="G4" s="319" t="s">
        <v>11</v>
      </c>
      <c r="H4" s="319" t="s">
        <v>12</v>
      </c>
      <c r="I4" s="319" t="s">
        <v>13</v>
      </c>
      <c r="J4" s="319" t="s">
        <v>14</v>
      </c>
      <c r="K4" s="319" t="s">
        <v>15</v>
      </c>
      <c r="L4" s="320" t="s">
        <v>346</v>
      </c>
    </row>
    <row r="5" spans="1:14" ht="19.5" customHeight="1">
      <c r="A5" s="225"/>
      <c r="B5" s="321" t="s">
        <v>347</v>
      </c>
      <c r="C5" s="322" t="s">
        <v>254</v>
      </c>
      <c r="D5" s="216">
        <v>366</v>
      </c>
      <c r="E5" s="216">
        <v>434</v>
      </c>
      <c r="F5" s="216">
        <v>595</v>
      </c>
      <c r="G5" s="216">
        <v>657</v>
      </c>
      <c r="H5" s="216">
        <v>713</v>
      </c>
      <c r="I5" s="216">
        <v>737</v>
      </c>
      <c r="J5" s="216">
        <v>806</v>
      </c>
      <c r="K5" s="216">
        <v>891</v>
      </c>
      <c r="L5" s="629" t="s">
        <v>348</v>
      </c>
      <c r="M5" s="629"/>
      <c r="N5" s="629"/>
    </row>
    <row r="6" spans="1:14" ht="19.5" customHeight="1">
      <c r="A6" s="225"/>
      <c r="B6" s="323" t="s">
        <v>349</v>
      </c>
      <c r="C6" s="324" t="s">
        <v>254</v>
      </c>
      <c r="D6" s="325">
        <v>104</v>
      </c>
      <c r="E6" s="325">
        <v>83</v>
      </c>
      <c r="F6" s="325">
        <v>109</v>
      </c>
      <c r="G6" s="325">
        <v>96</v>
      </c>
      <c r="H6" s="325">
        <v>71</v>
      </c>
      <c r="I6" s="326">
        <v>25</v>
      </c>
      <c r="J6" s="325">
        <v>81</v>
      </c>
      <c r="K6" s="325">
        <v>66</v>
      </c>
      <c r="L6" s="629" t="s">
        <v>350</v>
      </c>
      <c r="M6" s="629"/>
      <c r="N6" s="629"/>
    </row>
    <row r="7" spans="1:14" ht="19.5" customHeight="1">
      <c r="A7" s="225"/>
      <c r="B7" s="321" t="s">
        <v>258</v>
      </c>
      <c r="C7" s="322" t="s">
        <v>259</v>
      </c>
      <c r="D7" s="216">
        <v>27829</v>
      </c>
      <c r="E7" s="216">
        <v>26726</v>
      </c>
      <c r="F7" s="216">
        <v>46978</v>
      </c>
      <c r="G7" s="216">
        <v>51410</v>
      </c>
      <c r="H7" s="216">
        <v>45216</v>
      </c>
      <c r="I7" s="326">
        <v>21935</v>
      </c>
      <c r="J7" s="216">
        <v>37303</v>
      </c>
      <c r="K7" s="216">
        <v>23327</v>
      </c>
      <c r="L7" s="629" t="s">
        <v>351</v>
      </c>
      <c r="M7" s="629"/>
      <c r="N7" s="629"/>
    </row>
    <row r="8" spans="1:14" ht="19.5" customHeight="1">
      <c r="A8" s="225"/>
      <c r="B8" s="327" t="s">
        <v>278</v>
      </c>
      <c r="C8" s="324" t="s">
        <v>254</v>
      </c>
      <c r="D8" s="328">
        <v>4342</v>
      </c>
      <c r="E8" s="328">
        <v>1940</v>
      </c>
      <c r="F8" s="328">
        <v>3418</v>
      </c>
      <c r="G8" s="328">
        <v>4420</v>
      </c>
      <c r="H8" s="328">
        <v>5070</v>
      </c>
      <c r="I8" s="326">
        <v>979</v>
      </c>
      <c r="J8" s="328">
        <v>2554</v>
      </c>
      <c r="K8" s="328">
        <v>2804</v>
      </c>
      <c r="L8" s="629" t="s">
        <v>352</v>
      </c>
      <c r="M8" s="629"/>
      <c r="N8" s="629"/>
    </row>
    <row r="9" spans="1:14" ht="19.5" customHeight="1">
      <c r="A9" s="225"/>
      <c r="B9" s="329" t="s">
        <v>353</v>
      </c>
      <c r="C9" s="322" t="s">
        <v>259</v>
      </c>
      <c r="D9" s="216">
        <v>0</v>
      </c>
      <c r="E9" s="216">
        <v>0</v>
      </c>
      <c r="F9" s="216">
        <v>250</v>
      </c>
      <c r="G9" s="216">
        <v>127</v>
      </c>
      <c r="H9" s="216">
        <v>76</v>
      </c>
      <c r="I9" s="216">
        <v>39</v>
      </c>
      <c r="J9" s="325">
        <v>95</v>
      </c>
      <c r="K9" s="325">
        <v>131</v>
      </c>
      <c r="L9" s="629" t="s">
        <v>354</v>
      </c>
      <c r="M9" s="629"/>
      <c r="N9" s="629"/>
    </row>
    <row r="10" spans="1:14" ht="19.5" customHeight="1">
      <c r="A10" s="225"/>
      <c r="B10" s="327" t="s">
        <v>267</v>
      </c>
      <c r="C10" s="324" t="s">
        <v>259</v>
      </c>
      <c r="D10" s="328">
        <v>958</v>
      </c>
      <c r="E10" s="328">
        <v>632</v>
      </c>
      <c r="F10" s="328">
        <v>1431</v>
      </c>
      <c r="G10" s="328">
        <v>958</v>
      </c>
      <c r="H10" s="328">
        <v>646</v>
      </c>
      <c r="I10" s="328">
        <v>439</v>
      </c>
      <c r="J10" s="328">
        <v>853</v>
      </c>
      <c r="K10" s="328">
        <v>748</v>
      </c>
      <c r="L10" s="629" t="s">
        <v>355</v>
      </c>
      <c r="M10" s="629"/>
      <c r="N10" s="629"/>
    </row>
    <row r="11" spans="1:14" ht="19.5" customHeight="1">
      <c r="A11" s="225"/>
      <c r="B11" s="321" t="s">
        <v>356</v>
      </c>
      <c r="C11" s="330" t="s">
        <v>35</v>
      </c>
      <c r="D11" s="331">
        <v>0.109</v>
      </c>
      <c r="E11" s="331">
        <v>0.13100000000000001</v>
      </c>
      <c r="F11" s="332">
        <v>7.5999999999999998E-2</v>
      </c>
      <c r="G11" s="331">
        <v>0.1</v>
      </c>
      <c r="H11" s="331">
        <v>0.11</v>
      </c>
      <c r="I11" s="332">
        <v>5.7000000000000002E-2</v>
      </c>
      <c r="J11" s="332">
        <v>9.5000000000000001E-2</v>
      </c>
      <c r="K11" s="332">
        <v>8.7999999999999995E-2</v>
      </c>
      <c r="L11" s="663" t="s">
        <v>357</v>
      </c>
      <c r="M11" s="663"/>
      <c r="N11" s="663"/>
    </row>
    <row r="12" spans="1:14" ht="19.5" customHeight="1">
      <c r="A12" s="225"/>
      <c r="B12" s="327" t="s">
        <v>268</v>
      </c>
      <c r="C12" s="324" t="s">
        <v>241</v>
      </c>
      <c r="D12" s="328">
        <v>387</v>
      </c>
      <c r="E12" s="328">
        <v>189</v>
      </c>
      <c r="F12" s="328">
        <v>271</v>
      </c>
      <c r="G12" s="328">
        <v>500</v>
      </c>
      <c r="H12" s="328">
        <v>494</v>
      </c>
      <c r="I12" s="328">
        <v>72</v>
      </c>
      <c r="J12" s="325">
        <v>455</v>
      </c>
      <c r="K12" s="325">
        <v>544</v>
      </c>
      <c r="L12" s="629" t="s">
        <v>358</v>
      </c>
      <c r="M12" s="629"/>
      <c r="N12" s="629"/>
    </row>
    <row r="13" spans="1:14" ht="19.5" customHeight="1">
      <c r="A13" s="225"/>
      <c r="B13" s="321" t="s">
        <v>269</v>
      </c>
      <c r="C13" s="322" t="s">
        <v>241</v>
      </c>
      <c r="D13" s="216">
        <v>4</v>
      </c>
      <c r="E13" s="216">
        <v>9</v>
      </c>
      <c r="F13" s="216">
        <v>21</v>
      </c>
      <c r="G13" s="216">
        <v>23</v>
      </c>
      <c r="H13" s="216">
        <v>22</v>
      </c>
      <c r="I13" s="216">
        <v>13</v>
      </c>
      <c r="J13" s="325">
        <v>36</v>
      </c>
      <c r="K13" s="325">
        <v>17</v>
      </c>
      <c r="L13" s="629" t="s">
        <v>359</v>
      </c>
      <c r="M13" s="629"/>
      <c r="N13" s="629"/>
    </row>
    <row r="14" spans="1:14" ht="19.5" customHeight="1">
      <c r="A14" s="225"/>
      <c r="B14" s="327" t="s">
        <v>360</v>
      </c>
      <c r="C14" s="333" t="s">
        <v>35</v>
      </c>
      <c r="D14" s="334">
        <v>0.09</v>
      </c>
      <c r="E14" s="334">
        <v>0.10199999999999999</v>
      </c>
      <c r="F14" s="334">
        <v>8.5000000000000006E-2</v>
      </c>
      <c r="G14" s="334">
        <v>0.11799999999999999</v>
      </c>
      <c r="H14" s="334">
        <v>0.10199999999999999</v>
      </c>
      <c r="I14" s="334">
        <v>8.6999999999999994E-2</v>
      </c>
      <c r="J14" s="331">
        <v>0.192</v>
      </c>
      <c r="K14" s="331">
        <v>0.2</v>
      </c>
      <c r="L14" s="629" t="s">
        <v>361</v>
      </c>
      <c r="M14" s="629"/>
      <c r="N14" s="629"/>
    </row>
    <row r="15" spans="1:14" ht="19.5" customHeight="1">
      <c r="A15" s="225"/>
      <c r="B15" s="321" t="s">
        <v>362</v>
      </c>
      <c r="C15" s="322" t="s">
        <v>241</v>
      </c>
      <c r="D15" s="216">
        <v>1</v>
      </c>
      <c r="E15" s="216">
        <v>2</v>
      </c>
      <c r="F15" s="216">
        <v>0</v>
      </c>
      <c r="G15" s="216">
        <v>3</v>
      </c>
      <c r="H15" s="216">
        <v>0</v>
      </c>
      <c r="I15" s="216">
        <v>0</v>
      </c>
      <c r="J15" s="216">
        <v>0</v>
      </c>
      <c r="K15" s="216">
        <v>0</v>
      </c>
      <c r="L15" s="629" t="s">
        <v>363</v>
      </c>
      <c r="M15" s="629"/>
      <c r="N15" s="629"/>
    </row>
    <row r="16" spans="1:14" ht="19.5" customHeight="1">
      <c r="A16" s="225"/>
      <c r="B16" s="335" t="s">
        <v>364</v>
      </c>
      <c r="C16" s="324" t="s">
        <v>241</v>
      </c>
      <c r="D16" s="325">
        <v>9</v>
      </c>
      <c r="E16" s="325">
        <v>5</v>
      </c>
      <c r="F16" s="325">
        <v>5</v>
      </c>
      <c r="G16" s="325">
        <v>7</v>
      </c>
      <c r="H16" s="325">
        <v>17</v>
      </c>
      <c r="I16" s="326">
        <v>2</v>
      </c>
      <c r="J16" s="325">
        <v>16</v>
      </c>
      <c r="K16" s="325">
        <v>16</v>
      </c>
      <c r="L16" s="629" t="s">
        <v>365</v>
      </c>
      <c r="M16" s="629"/>
      <c r="N16" s="629"/>
    </row>
    <row r="19" spans="1:14" ht="27.75" customHeight="1">
      <c r="A19" s="664" t="s">
        <v>366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</row>
    <row r="20" spans="1:14" ht="48" customHeight="1">
      <c r="A20" s="337"/>
      <c r="B20" s="338" t="s">
        <v>367</v>
      </c>
      <c r="C20" s="665" t="s">
        <v>368</v>
      </c>
      <c r="D20" s="665"/>
      <c r="E20" s="665"/>
      <c r="F20" s="666" t="s">
        <v>369</v>
      </c>
      <c r="G20" s="666"/>
      <c r="H20" s="666"/>
      <c r="I20" s="666"/>
      <c r="J20" s="666"/>
      <c r="K20" s="666"/>
      <c r="L20" s="666"/>
      <c r="M20" s="666"/>
      <c r="N20" s="666"/>
    </row>
    <row r="21" spans="1:14" ht="48" customHeight="1">
      <c r="A21" s="337"/>
      <c r="B21" s="338" t="s">
        <v>370</v>
      </c>
      <c r="C21" s="665" t="s">
        <v>371</v>
      </c>
      <c r="D21" s="665"/>
      <c r="E21" s="665"/>
      <c r="F21" s="666" t="s">
        <v>372</v>
      </c>
      <c r="G21" s="666"/>
      <c r="H21" s="666"/>
      <c r="I21" s="666"/>
      <c r="J21" s="666"/>
      <c r="K21" s="666"/>
      <c r="L21" s="666"/>
      <c r="M21" s="666"/>
      <c r="N21" s="666"/>
    </row>
    <row r="22" spans="1:14" ht="48" customHeight="1">
      <c r="A22" s="337"/>
      <c r="B22" s="338" t="s">
        <v>373</v>
      </c>
      <c r="C22" s="665" t="s">
        <v>374</v>
      </c>
      <c r="D22" s="665"/>
      <c r="E22" s="665"/>
      <c r="F22" s="666" t="s">
        <v>375</v>
      </c>
      <c r="G22" s="666"/>
      <c r="H22" s="666"/>
      <c r="I22" s="666"/>
      <c r="J22" s="666"/>
      <c r="K22" s="666"/>
      <c r="L22" s="666"/>
      <c r="M22" s="666"/>
      <c r="N22" s="666"/>
    </row>
    <row r="23" spans="1:14" ht="48" customHeight="1">
      <c r="A23" s="247"/>
      <c r="B23" s="339" t="s">
        <v>376</v>
      </c>
      <c r="C23" s="667" t="s">
        <v>377</v>
      </c>
      <c r="D23" s="667"/>
      <c r="E23" s="667"/>
      <c r="F23" s="668" t="s">
        <v>378</v>
      </c>
      <c r="G23" s="668"/>
      <c r="H23" s="668"/>
      <c r="I23" s="668"/>
      <c r="J23" s="668"/>
      <c r="K23" s="668"/>
      <c r="L23" s="668"/>
      <c r="M23" s="668"/>
      <c r="N23" s="668"/>
    </row>
    <row r="24" spans="1:14" ht="48" customHeight="1">
      <c r="A24" s="247"/>
      <c r="B24" s="339" t="s">
        <v>379</v>
      </c>
      <c r="C24" s="667" t="s">
        <v>380</v>
      </c>
      <c r="D24" s="667"/>
      <c r="E24" s="667"/>
      <c r="F24" s="666" t="s">
        <v>381</v>
      </c>
      <c r="G24" s="666"/>
      <c r="H24" s="666"/>
      <c r="I24" s="666"/>
      <c r="J24" s="666"/>
      <c r="K24" s="666"/>
      <c r="L24" s="666"/>
      <c r="M24" s="666"/>
      <c r="N24" s="666"/>
    </row>
    <row r="25" spans="1:14" ht="48" customHeight="1">
      <c r="A25" s="340"/>
      <c r="B25" s="341" t="s">
        <v>382</v>
      </c>
      <c r="C25" s="669" t="s">
        <v>383</v>
      </c>
      <c r="D25" s="669"/>
      <c r="E25" s="669"/>
      <c r="F25" s="668" t="s">
        <v>384</v>
      </c>
      <c r="G25" s="668"/>
      <c r="H25" s="668"/>
      <c r="I25" s="668"/>
      <c r="J25" s="668"/>
      <c r="K25" s="668"/>
      <c r="L25" s="668"/>
      <c r="M25" s="668"/>
      <c r="N25" s="668"/>
    </row>
    <row r="26" spans="1:14" ht="48" customHeight="1">
      <c r="A26" s="340"/>
      <c r="B26" s="341" t="s">
        <v>385</v>
      </c>
      <c r="C26" s="670" t="s">
        <v>386</v>
      </c>
      <c r="D26" s="670"/>
      <c r="E26" s="670"/>
      <c r="F26" s="668" t="s">
        <v>387</v>
      </c>
      <c r="G26" s="668"/>
      <c r="H26" s="668"/>
      <c r="I26" s="668"/>
      <c r="J26" s="668"/>
      <c r="K26" s="668"/>
      <c r="L26" s="668"/>
      <c r="M26" s="668"/>
      <c r="N26" s="668"/>
    </row>
    <row r="27" spans="1:14" ht="48" customHeight="1">
      <c r="A27" s="340"/>
      <c r="B27" s="341" t="s">
        <v>388</v>
      </c>
      <c r="C27" s="670" t="s">
        <v>389</v>
      </c>
      <c r="D27" s="670"/>
      <c r="E27" s="670"/>
      <c r="F27" s="666" t="s">
        <v>390</v>
      </c>
      <c r="G27" s="666"/>
      <c r="H27" s="666"/>
      <c r="I27" s="666"/>
      <c r="J27" s="666"/>
      <c r="K27" s="666"/>
      <c r="L27" s="666"/>
      <c r="M27" s="666"/>
      <c r="N27" s="666"/>
    </row>
    <row r="30" spans="1:14" ht="27.75" customHeight="1">
      <c r="A30" s="671" t="s">
        <v>391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</row>
    <row r="31" spans="1:14" ht="21.75" customHeight="1">
      <c r="A31" s="342"/>
      <c r="B31" s="672" t="s">
        <v>345</v>
      </c>
      <c r="C31" s="672"/>
      <c r="D31" s="673" t="s">
        <v>392</v>
      </c>
      <c r="E31" s="673"/>
      <c r="F31" s="673" t="s">
        <v>393</v>
      </c>
      <c r="G31" s="673"/>
      <c r="H31" s="673"/>
      <c r="I31" s="673" t="s">
        <v>394</v>
      </c>
      <c r="J31" s="673"/>
      <c r="K31" s="673"/>
      <c r="L31" s="673"/>
      <c r="M31" s="673"/>
      <c r="N31" s="673"/>
    </row>
    <row r="32" spans="1:14" ht="72" customHeight="1">
      <c r="A32" s="246"/>
      <c r="B32" s="674" t="s">
        <v>395</v>
      </c>
      <c r="C32" s="674"/>
      <c r="D32" s="668" t="s">
        <v>396</v>
      </c>
      <c r="E32" s="668"/>
      <c r="F32" s="674" t="s">
        <v>397</v>
      </c>
      <c r="G32" s="674"/>
      <c r="H32" s="674"/>
      <c r="I32" s="668" t="s">
        <v>398</v>
      </c>
      <c r="J32" s="668"/>
      <c r="K32" s="668"/>
      <c r="L32" s="668"/>
      <c r="M32" s="668"/>
      <c r="N32" s="668"/>
    </row>
    <row r="33" spans="1:14" ht="72" customHeight="1">
      <c r="A33" s="337"/>
      <c r="B33" s="675" t="s">
        <v>399</v>
      </c>
      <c r="C33" s="675"/>
      <c r="D33" s="668" t="s">
        <v>400</v>
      </c>
      <c r="E33" s="668"/>
      <c r="F33" s="665" t="s">
        <v>401</v>
      </c>
      <c r="G33" s="665"/>
      <c r="H33" s="665"/>
      <c r="I33" s="668" t="s">
        <v>402</v>
      </c>
      <c r="J33" s="668"/>
      <c r="K33" s="668"/>
      <c r="L33" s="668"/>
      <c r="M33" s="668"/>
      <c r="N33" s="668"/>
    </row>
    <row r="34" spans="1:14" ht="72" customHeight="1">
      <c r="A34" s="236"/>
      <c r="B34" s="676" t="s">
        <v>403</v>
      </c>
      <c r="C34" s="676"/>
      <c r="D34" s="668" t="s">
        <v>404</v>
      </c>
      <c r="E34" s="668"/>
      <c r="F34" s="677" t="s">
        <v>405</v>
      </c>
      <c r="G34" s="677"/>
      <c r="H34" s="677"/>
      <c r="I34" s="668" t="s">
        <v>406</v>
      </c>
      <c r="J34" s="668"/>
      <c r="K34" s="668"/>
      <c r="L34" s="668"/>
      <c r="M34" s="668"/>
      <c r="N34" s="668"/>
    </row>
    <row r="35" spans="1:14" ht="72" customHeight="1">
      <c r="A35" s="219"/>
      <c r="B35" s="678" t="s">
        <v>407</v>
      </c>
      <c r="C35" s="678"/>
      <c r="D35" s="668" t="s">
        <v>408</v>
      </c>
      <c r="E35" s="668"/>
      <c r="F35" s="678" t="s">
        <v>409</v>
      </c>
      <c r="G35" s="678"/>
      <c r="H35" s="678"/>
      <c r="I35" s="668" t="s">
        <v>410</v>
      </c>
      <c r="J35" s="668"/>
      <c r="K35" s="668"/>
      <c r="L35" s="668"/>
      <c r="M35" s="668"/>
      <c r="N35" s="668"/>
    </row>
    <row r="36" spans="1:14" ht="72" customHeight="1">
      <c r="A36" s="247"/>
      <c r="B36" s="667" t="s">
        <v>411</v>
      </c>
      <c r="C36" s="667"/>
      <c r="D36" s="668" t="s">
        <v>412</v>
      </c>
      <c r="E36" s="668"/>
      <c r="F36" s="667" t="s">
        <v>413</v>
      </c>
      <c r="G36" s="667"/>
      <c r="H36" s="667"/>
      <c r="I36" s="668" t="s">
        <v>414</v>
      </c>
      <c r="J36" s="668"/>
      <c r="K36" s="668"/>
      <c r="L36" s="668"/>
      <c r="M36" s="668"/>
      <c r="N36" s="668"/>
    </row>
  </sheetData>
  <mergeCells count="56">
    <mergeCell ref="B35:C35"/>
    <mergeCell ref="D35:E35"/>
    <mergeCell ref="F35:H35"/>
    <mergeCell ref="I35:N35"/>
    <mergeCell ref="B36:C36"/>
    <mergeCell ref="D36:E36"/>
    <mergeCell ref="F36:H36"/>
    <mergeCell ref="I36:N36"/>
    <mergeCell ref="B33:C33"/>
    <mergeCell ref="D33:E33"/>
    <mergeCell ref="F33:H33"/>
    <mergeCell ref="I33:N33"/>
    <mergeCell ref="B34:C34"/>
    <mergeCell ref="D34:E34"/>
    <mergeCell ref="F34:H34"/>
    <mergeCell ref="I34:N34"/>
    <mergeCell ref="B31:C31"/>
    <mergeCell ref="D31:E31"/>
    <mergeCell ref="F31:H31"/>
    <mergeCell ref="I31:N31"/>
    <mergeCell ref="B32:C32"/>
    <mergeCell ref="D32:E32"/>
    <mergeCell ref="F32:H32"/>
    <mergeCell ref="I32:N32"/>
    <mergeCell ref="C26:E26"/>
    <mergeCell ref="F26:N26"/>
    <mergeCell ref="C27:E27"/>
    <mergeCell ref="F27:N27"/>
    <mergeCell ref="A30:N30"/>
    <mergeCell ref="C23:E23"/>
    <mergeCell ref="F23:N23"/>
    <mergeCell ref="C24:E24"/>
    <mergeCell ref="F24:N24"/>
    <mergeCell ref="C25:E25"/>
    <mergeCell ref="F25:N25"/>
    <mergeCell ref="C20:E20"/>
    <mergeCell ref="F20:N20"/>
    <mergeCell ref="C21:E21"/>
    <mergeCell ref="F21:N21"/>
    <mergeCell ref="C22:E22"/>
    <mergeCell ref="F22:N22"/>
    <mergeCell ref="L13:N13"/>
    <mergeCell ref="L14:N14"/>
    <mergeCell ref="L15:N15"/>
    <mergeCell ref="L16:N16"/>
    <mergeCell ref="A19:N19"/>
    <mergeCell ref="L8:N8"/>
    <mergeCell ref="L9:N9"/>
    <mergeCell ref="L10:N10"/>
    <mergeCell ref="L11:N11"/>
    <mergeCell ref="L12:N12"/>
    <mergeCell ref="A1:N1"/>
    <mergeCell ref="A3:N3"/>
    <mergeCell ref="L5:N5"/>
    <mergeCell ref="L6:N6"/>
    <mergeCell ref="L7:N7"/>
  </mergeCells>
  <phoneticPr fontId="202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8"/>
  <sheetViews>
    <sheetView zoomScaleNormal="100" workbookViewId="0">
      <selection sqref="A1:D1"/>
    </sheetView>
  </sheetViews>
  <sheetFormatPr defaultColWidth="8.6640625" defaultRowHeight="14.25"/>
  <cols>
    <col min="1" max="1" width="3" customWidth="1"/>
    <col min="2" max="2" width="22" customWidth="1"/>
    <col min="3" max="3" width="14" customWidth="1"/>
    <col min="4" max="4" width="10" customWidth="1"/>
  </cols>
  <sheetData>
    <row r="1" spans="1:4" ht="30" customHeight="1">
      <c r="A1" s="681" t="s">
        <v>415</v>
      </c>
      <c r="B1" s="681"/>
      <c r="C1" s="681"/>
      <c r="D1" s="681"/>
    </row>
    <row r="3" spans="1:4" ht="21.75" customHeight="1">
      <c r="A3" s="662" t="s">
        <v>416</v>
      </c>
      <c r="B3" s="662"/>
      <c r="C3" s="662"/>
      <c r="D3" s="662"/>
    </row>
    <row r="4" spans="1:4" ht="21.75" customHeight="1">
      <c r="B4" s="343" t="s">
        <v>417</v>
      </c>
      <c r="C4" s="343" t="s">
        <v>418</v>
      </c>
      <c r="D4" s="343" t="s">
        <v>419</v>
      </c>
    </row>
    <row r="5" spans="1:4" ht="19.5" customHeight="1">
      <c r="B5" s="344" t="s">
        <v>420</v>
      </c>
      <c r="C5" s="345">
        <v>8</v>
      </c>
      <c r="D5" s="345">
        <v>21200</v>
      </c>
    </row>
    <row r="6" spans="1:4" ht="19.5" customHeight="1">
      <c r="B6" s="346" t="s">
        <v>421</v>
      </c>
      <c r="C6" s="347">
        <v>4</v>
      </c>
      <c r="D6" s="347">
        <v>10600</v>
      </c>
    </row>
    <row r="7" spans="1:4" ht="19.5" customHeight="1">
      <c r="B7" s="344" t="s">
        <v>422</v>
      </c>
      <c r="C7" s="345">
        <v>10</v>
      </c>
      <c r="D7" s="345">
        <v>26500</v>
      </c>
    </row>
    <row r="8" spans="1:4" ht="19.5" customHeight="1">
      <c r="B8" s="346" t="s">
        <v>423</v>
      </c>
      <c r="C8" s="347">
        <v>12</v>
      </c>
      <c r="D8" s="347">
        <v>31800</v>
      </c>
    </row>
    <row r="9" spans="1:4" ht="19.5" customHeight="1">
      <c r="B9" s="344" t="s">
        <v>424</v>
      </c>
      <c r="C9" s="345">
        <v>30</v>
      </c>
      <c r="D9" s="345">
        <v>79500</v>
      </c>
    </row>
    <row r="10" spans="1:4" ht="21.75" customHeight="1">
      <c r="B10" s="348" t="s">
        <v>425</v>
      </c>
      <c r="C10" s="349">
        <v>64</v>
      </c>
      <c r="D10" s="349">
        <v>169600</v>
      </c>
    </row>
    <row r="11" spans="1:4" ht="21.75" customHeight="1">
      <c r="B11" s="350" t="s">
        <v>238</v>
      </c>
      <c r="C11" s="351" t="s">
        <v>426</v>
      </c>
      <c r="D11" s="351" t="s">
        <v>72</v>
      </c>
    </row>
    <row r="13" spans="1:4" ht="21.75" customHeight="1">
      <c r="A13" s="682" t="s">
        <v>427</v>
      </c>
      <c r="B13" s="682"/>
      <c r="C13" s="682"/>
      <c r="D13" s="682"/>
    </row>
    <row r="14" spans="1:4" ht="21.75" customHeight="1">
      <c r="B14" s="352" t="s">
        <v>417</v>
      </c>
      <c r="C14" s="352" t="s">
        <v>418</v>
      </c>
      <c r="D14" s="352" t="s">
        <v>419</v>
      </c>
    </row>
    <row r="15" spans="1:4" ht="19.5" customHeight="1">
      <c r="B15" s="344" t="s">
        <v>428</v>
      </c>
      <c r="C15" s="345">
        <v>90</v>
      </c>
      <c r="D15" s="345">
        <v>225000</v>
      </c>
    </row>
    <row r="16" spans="1:4" ht="19.5" customHeight="1">
      <c r="B16" s="353" t="s">
        <v>429</v>
      </c>
      <c r="C16" s="354">
        <v>60</v>
      </c>
      <c r="D16" s="354">
        <v>150000</v>
      </c>
    </row>
    <row r="17" spans="1:4" ht="21.75" customHeight="1">
      <c r="B17" s="355" t="s">
        <v>430</v>
      </c>
      <c r="C17" s="356">
        <v>150</v>
      </c>
      <c r="D17" s="356">
        <v>375000</v>
      </c>
    </row>
    <row r="18" spans="1:4" ht="21.75" customHeight="1">
      <c r="B18" s="357" t="s">
        <v>238</v>
      </c>
      <c r="C18" s="358" t="s">
        <v>431</v>
      </c>
      <c r="D18" s="358" t="s">
        <v>72</v>
      </c>
    </row>
    <row r="20" spans="1:4" ht="21.75" customHeight="1">
      <c r="A20" s="683" t="s">
        <v>432</v>
      </c>
      <c r="B20" s="683"/>
      <c r="C20" s="683"/>
      <c r="D20" s="683"/>
    </row>
    <row r="21" spans="1:4" ht="21.75" customHeight="1">
      <c r="B21" s="359" t="s">
        <v>417</v>
      </c>
      <c r="C21" s="359" t="s">
        <v>418</v>
      </c>
      <c r="D21" s="359" t="s">
        <v>419</v>
      </c>
    </row>
    <row r="22" spans="1:4" ht="19.5" customHeight="1">
      <c r="B22" s="360" t="s">
        <v>433</v>
      </c>
      <c r="C22" s="361">
        <v>12</v>
      </c>
      <c r="D22" s="361">
        <v>35400</v>
      </c>
    </row>
    <row r="23" spans="1:4" ht="19.5" customHeight="1">
      <c r="B23" s="344" t="s">
        <v>434</v>
      </c>
      <c r="C23" s="345">
        <v>6</v>
      </c>
      <c r="D23" s="345">
        <v>17700</v>
      </c>
    </row>
    <row r="24" spans="1:4" ht="19.5" customHeight="1">
      <c r="B24" s="360" t="s">
        <v>435</v>
      </c>
      <c r="C24" s="361">
        <v>6</v>
      </c>
      <c r="D24" s="361">
        <v>17700</v>
      </c>
    </row>
    <row r="25" spans="1:4" ht="19.5" customHeight="1">
      <c r="B25" s="362" t="s">
        <v>436</v>
      </c>
      <c r="C25" s="345">
        <v>20</v>
      </c>
      <c r="D25" s="345">
        <v>59000</v>
      </c>
    </row>
    <row r="26" spans="1:4" ht="19.5" customHeight="1">
      <c r="B26" s="360" t="s">
        <v>437</v>
      </c>
      <c r="C26" s="361">
        <v>6</v>
      </c>
      <c r="D26" s="361">
        <v>17700</v>
      </c>
    </row>
    <row r="27" spans="1:4" ht="19.5" customHeight="1">
      <c r="B27" s="344" t="s">
        <v>438</v>
      </c>
      <c r="C27" s="345">
        <v>4</v>
      </c>
      <c r="D27" s="345">
        <v>11800</v>
      </c>
    </row>
    <row r="28" spans="1:4" ht="19.5" customHeight="1">
      <c r="B28" s="360" t="s">
        <v>439</v>
      </c>
      <c r="C28" s="361">
        <v>4</v>
      </c>
      <c r="D28" s="361">
        <v>11800</v>
      </c>
    </row>
    <row r="29" spans="1:4" ht="19.5" customHeight="1">
      <c r="B29" s="362" t="s">
        <v>440</v>
      </c>
      <c r="C29" s="345">
        <v>30</v>
      </c>
      <c r="D29" s="345">
        <v>88500</v>
      </c>
    </row>
    <row r="30" spans="1:4" ht="21.75" customHeight="1">
      <c r="B30" s="363" t="s">
        <v>441</v>
      </c>
      <c r="C30" s="364">
        <v>88</v>
      </c>
      <c r="D30" s="364">
        <v>259600</v>
      </c>
    </row>
    <row r="31" spans="1:4" ht="21.75" customHeight="1">
      <c r="B31" s="365" t="s">
        <v>238</v>
      </c>
      <c r="C31" s="366" t="s">
        <v>442</v>
      </c>
      <c r="D31" s="366" t="s">
        <v>72</v>
      </c>
    </row>
    <row r="33" spans="1:4" ht="21.75" customHeight="1">
      <c r="A33" s="684" t="s">
        <v>443</v>
      </c>
      <c r="B33" s="684"/>
      <c r="C33" s="684"/>
      <c r="D33" s="684"/>
    </row>
    <row r="34" spans="1:4" ht="21.75" customHeight="1">
      <c r="B34" s="346" t="s">
        <v>18</v>
      </c>
      <c r="C34" s="347">
        <v>64</v>
      </c>
      <c r="D34" s="368" t="s">
        <v>444</v>
      </c>
    </row>
    <row r="35" spans="1:4" ht="21.75" customHeight="1">
      <c r="B35" s="353" t="s">
        <v>22</v>
      </c>
      <c r="C35" s="354">
        <v>150</v>
      </c>
      <c r="D35" s="369" t="s">
        <v>431</v>
      </c>
    </row>
    <row r="36" spans="1:4" ht="21.75" customHeight="1">
      <c r="B36" s="360" t="s">
        <v>24</v>
      </c>
      <c r="C36" s="361">
        <v>88</v>
      </c>
      <c r="D36" s="370" t="s">
        <v>442</v>
      </c>
    </row>
    <row r="37" spans="1:4" ht="21.75" customHeight="1">
      <c r="B37" s="371" t="s">
        <v>20</v>
      </c>
      <c r="C37" s="372">
        <v>177</v>
      </c>
      <c r="D37" s="373" t="s">
        <v>445</v>
      </c>
    </row>
    <row r="38" spans="1:4" ht="21.75" customHeight="1">
      <c r="B38" s="374" t="s">
        <v>21</v>
      </c>
      <c r="C38" s="375">
        <v>70</v>
      </c>
      <c r="D38" s="376" t="s">
        <v>446</v>
      </c>
    </row>
    <row r="40" spans="1:4" ht="21.75" customHeight="1">
      <c r="A40" s="679"/>
      <c r="B40" s="679"/>
      <c r="C40" s="679"/>
      <c r="D40" s="679"/>
    </row>
    <row r="41" spans="1:4" ht="21.75" customHeight="1"/>
    <row r="42" spans="1:4" ht="19.5" customHeight="1">
      <c r="A42" s="336" t="s">
        <v>447</v>
      </c>
    </row>
    <row r="43" spans="1:4" ht="19.5" customHeight="1">
      <c r="B43" s="377" t="s">
        <v>448</v>
      </c>
      <c r="C43" s="377" t="s">
        <v>418</v>
      </c>
      <c r="D43" s="377" t="s">
        <v>419</v>
      </c>
    </row>
    <row r="44" spans="1:4" ht="19.5" customHeight="1">
      <c r="B44" s="378" t="s">
        <v>449</v>
      </c>
      <c r="C44" s="372">
        <v>145</v>
      </c>
      <c r="D44" s="372">
        <v>565500</v>
      </c>
    </row>
    <row r="45" spans="1:4" ht="21.75" customHeight="1">
      <c r="B45" s="362" t="s">
        <v>450</v>
      </c>
      <c r="C45" s="345">
        <v>3</v>
      </c>
      <c r="D45" s="345">
        <v>54000</v>
      </c>
    </row>
    <row r="46" spans="1:4" ht="21.75" customHeight="1">
      <c r="B46" s="378" t="s">
        <v>451</v>
      </c>
      <c r="C46" s="372">
        <v>29</v>
      </c>
      <c r="D46" s="372">
        <v>133400</v>
      </c>
    </row>
    <row r="47" spans="1:4" ht="15" customHeight="1">
      <c r="B47" s="348" t="s">
        <v>452</v>
      </c>
      <c r="C47" s="349">
        <v>177</v>
      </c>
      <c r="D47" s="349">
        <v>752900</v>
      </c>
    </row>
    <row r="48" spans="1:4" ht="21.75" customHeight="1">
      <c r="A48" s="679"/>
      <c r="B48" s="679"/>
      <c r="C48" s="679"/>
      <c r="D48" s="679"/>
    </row>
    <row r="49" spans="1:4" ht="21.75" customHeight="1"/>
    <row r="50" spans="1:4" ht="19.5" customHeight="1">
      <c r="A50" s="379" t="s">
        <v>453</v>
      </c>
    </row>
    <row r="51" spans="1:4" ht="19.5" customHeight="1">
      <c r="B51" s="377" t="s">
        <v>448</v>
      </c>
      <c r="C51" s="377" t="s">
        <v>418</v>
      </c>
      <c r="D51" s="377" t="s">
        <v>419</v>
      </c>
    </row>
    <row r="52" spans="1:4" ht="21.75" customHeight="1">
      <c r="B52" s="374" t="s">
        <v>454</v>
      </c>
      <c r="C52" s="375">
        <v>53</v>
      </c>
      <c r="D52" s="375">
        <v>214226</v>
      </c>
    </row>
    <row r="53" spans="1:4" ht="21.75" customHeight="1">
      <c r="B53" s="362" t="s">
        <v>455</v>
      </c>
      <c r="C53" s="345">
        <v>17</v>
      </c>
      <c r="D53" s="345">
        <v>83181</v>
      </c>
    </row>
    <row r="54" spans="1:4" ht="15" customHeight="1">
      <c r="B54" s="348" t="s">
        <v>456</v>
      </c>
      <c r="C54" s="349">
        <v>70</v>
      </c>
      <c r="D54" s="349">
        <v>279398</v>
      </c>
    </row>
    <row r="55" spans="1:4" ht="21.75" customHeight="1">
      <c r="A55" s="679"/>
      <c r="B55" s="679"/>
      <c r="C55" s="679"/>
      <c r="D55" s="679"/>
    </row>
    <row r="56" spans="1:4" ht="15" customHeight="1"/>
    <row r="57" spans="1:4" ht="21.75" customHeight="1">
      <c r="A57" s="367" t="s">
        <v>457</v>
      </c>
    </row>
    <row r="58" spans="1:4" ht="21.75" customHeight="1">
      <c r="B58" s="380" t="s">
        <v>75</v>
      </c>
      <c r="C58" s="380" t="s">
        <v>458</v>
      </c>
      <c r="D58" s="380" t="s">
        <v>238</v>
      </c>
    </row>
    <row r="59" spans="1:4" ht="21.75" customHeight="1">
      <c r="B59" s="344" t="s">
        <v>18</v>
      </c>
      <c r="C59" s="381" t="s">
        <v>459</v>
      </c>
      <c r="D59" s="382" t="s">
        <v>460</v>
      </c>
    </row>
    <row r="60" spans="1:4" ht="21.75" customHeight="1">
      <c r="B60" s="346" t="s">
        <v>20</v>
      </c>
      <c r="C60" s="383" t="s">
        <v>461</v>
      </c>
      <c r="D60" s="384" t="s">
        <v>462</v>
      </c>
    </row>
    <row r="61" spans="1:4" ht="21.75" customHeight="1">
      <c r="B61" s="362" t="s">
        <v>21</v>
      </c>
      <c r="C61" s="381" t="s">
        <v>463</v>
      </c>
      <c r="D61" s="382" t="s">
        <v>464</v>
      </c>
    </row>
    <row r="62" spans="1:4" ht="21.75" customHeight="1">
      <c r="B62" s="346" t="s">
        <v>22</v>
      </c>
      <c r="C62" s="383" t="s">
        <v>465</v>
      </c>
      <c r="D62" s="385" t="s">
        <v>466</v>
      </c>
    </row>
    <row r="63" spans="1:4" ht="15" customHeight="1">
      <c r="B63" s="344" t="s">
        <v>24</v>
      </c>
      <c r="C63" s="381" t="s">
        <v>467</v>
      </c>
      <c r="D63" s="385" t="s">
        <v>468</v>
      </c>
    </row>
    <row r="64" spans="1:4" ht="15" customHeight="1">
      <c r="B64" s="386" t="s">
        <v>274</v>
      </c>
      <c r="C64" s="387" t="s">
        <v>469</v>
      </c>
      <c r="D64" s="388" t="s">
        <v>470</v>
      </c>
    </row>
    <row r="67" spans="1:5" ht="15" customHeight="1">
      <c r="A67" s="680" t="s">
        <v>471</v>
      </c>
      <c r="B67" s="680"/>
      <c r="C67" s="680"/>
      <c r="D67" s="680"/>
    </row>
    <row r="68" spans="1:5" ht="29.25" customHeight="1">
      <c r="B68" s="389" t="s">
        <v>75</v>
      </c>
      <c r="C68" s="389" t="s">
        <v>472</v>
      </c>
      <c r="D68" s="389" t="s">
        <v>473</v>
      </c>
      <c r="E68" s="390" t="s">
        <v>238</v>
      </c>
    </row>
    <row r="69" spans="1:5" ht="15" customHeight="1">
      <c r="B69" s="391" t="s">
        <v>20</v>
      </c>
      <c r="C69" s="392">
        <v>207090</v>
      </c>
      <c r="D69" s="392">
        <v>210600</v>
      </c>
      <c r="E69" s="393" t="s">
        <v>462</v>
      </c>
    </row>
    <row r="70" spans="1:5" ht="15" customHeight="1">
      <c r="B70" s="394" t="s">
        <v>21</v>
      </c>
      <c r="C70" s="395">
        <v>83819</v>
      </c>
      <c r="D70" s="395">
        <v>137370</v>
      </c>
      <c r="E70" s="396" t="s">
        <v>474</v>
      </c>
    </row>
    <row r="71" spans="1:5" ht="15" customHeight="1">
      <c r="B71" s="397" t="s">
        <v>18</v>
      </c>
      <c r="C71" s="395">
        <v>50880</v>
      </c>
      <c r="D71" s="395">
        <v>71362</v>
      </c>
      <c r="E71" s="396" t="s">
        <v>475</v>
      </c>
    </row>
    <row r="72" spans="1:5" ht="15" customHeight="1">
      <c r="B72" s="391" t="s">
        <v>22</v>
      </c>
      <c r="C72" s="392">
        <v>112500</v>
      </c>
      <c r="D72" s="392">
        <v>77220</v>
      </c>
      <c r="E72" s="398" t="s">
        <v>476</v>
      </c>
    </row>
    <row r="73" spans="1:5" ht="15" customHeight="1">
      <c r="B73" s="391" t="s">
        <v>24</v>
      </c>
      <c r="C73" s="392">
        <v>77880</v>
      </c>
      <c r="D73" s="392">
        <v>66375</v>
      </c>
      <c r="E73" s="398" t="s">
        <v>468</v>
      </c>
    </row>
    <row r="74" spans="1:5" ht="15" customHeight="1">
      <c r="B74" s="399" t="s">
        <v>23</v>
      </c>
      <c r="C74" s="400">
        <v>0</v>
      </c>
      <c r="D74" s="400">
        <v>0</v>
      </c>
      <c r="E74" s="401" t="s">
        <v>72</v>
      </c>
    </row>
    <row r="75" spans="1:5" ht="15" customHeight="1">
      <c r="B75" s="402" t="s">
        <v>274</v>
      </c>
      <c r="C75" s="403">
        <f>SUM(C69:C74)</f>
        <v>532169</v>
      </c>
      <c r="D75" s="403">
        <f>SUM(D69:D74)</f>
        <v>562927</v>
      </c>
      <c r="E75" s="404" t="s">
        <v>477</v>
      </c>
    </row>
    <row r="76" spans="1:5" ht="15" customHeight="1">
      <c r="B76" s="405" t="s">
        <v>238</v>
      </c>
      <c r="C76" s="406">
        <f>IFERROR(C75/D75,"")</f>
        <v>0.94536058849548876</v>
      </c>
    </row>
    <row r="78" spans="1:5" ht="57.75" customHeight="1">
      <c r="B78" s="407" t="s">
        <v>478</v>
      </c>
    </row>
  </sheetData>
  <mergeCells count="9">
    <mergeCell ref="A40:D40"/>
    <mergeCell ref="A48:D48"/>
    <mergeCell ref="A55:D55"/>
    <mergeCell ref="A67:D67"/>
    <mergeCell ref="A1:D1"/>
    <mergeCell ref="A3:D3"/>
    <mergeCell ref="A13:D13"/>
    <mergeCell ref="A20:D20"/>
    <mergeCell ref="A33:D33"/>
  </mergeCells>
  <phoneticPr fontId="202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2"/>
  <sheetViews>
    <sheetView zoomScaleNormal="100" workbookViewId="0">
      <selection sqref="A1:F1"/>
    </sheetView>
  </sheetViews>
  <sheetFormatPr defaultColWidth="8.6640625" defaultRowHeight="14.25"/>
  <cols>
    <col min="1" max="1" width="3" customWidth="1"/>
    <col min="2" max="2" width="20" customWidth="1"/>
    <col min="3" max="3" width="28" customWidth="1"/>
    <col min="4" max="5" width="32" customWidth="1"/>
    <col min="6" max="6" width="18" customWidth="1"/>
  </cols>
  <sheetData>
    <row r="1" spans="1:6" ht="36" customHeight="1">
      <c r="A1" s="685" t="s">
        <v>479</v>
      </c>
      <c r="B1" s="685"/>
      <c r="C1" s="685"/>
      <c r="D1" s="685"/>
      <c r="E1" s="685"/>
      <c r="F1" s="685"/>
    </row>
    <row r="2" spans="1:6" ht="18" customHeight="1">
      <c r="A2" s="686" t="s">
        <v>480</v>
      </c>
      <c r="B2" s="686"/>
      <c r="C2" s="686"/>
      <c r="D2" s="686"/>
      <c r="E2" s="686"/>
      <c r="F2" s="686"/>
    </row>
    <row r="4" spans="1:6" ht="21.75" customHeight="1">
      <c r="A4" s="687" t="s">
        <v>481</v>
      </c>
      <c r="B4" s="687"/>
      <c r="C4" s="687"/>
      <c r="D4" s="687"/>
      <c r="E4" s="687"/>
      <c r="F4" s="687"/>
    </row>
    <row r="5" spans="1:6" ht="21.75" customHeight="1">
      <c r="B5" s="5" t="s">
        <v>482</v>
      </c>
      <c r="C5" s="4" t="s">
        <v>483</v>
      </c>
      <c r="D5" s="5" t="s">
        <v>484</v>
      </c>
    </row>
    <row r="6" spans="1:6" ht="21.75" customHeight="1">
      <c r="B6" s="408" t="s">
        <v>485</v>
      </c>
      <c r="C6" s="409" t="s">
        <v>486</v>
      </c>
      <c r="D6" s="51" t="s">
        <v>487</v>
      </c>
    </row>
    <row r="7" spans="1:6" ht="21.75" customHeight="1">
      <c r="B7" s="408" t="s">
        <v>258</v>
      </c>
      <c r="C7" s="409" t="s">
        <v>488</v>
      </c>
      <c r="D7" s="51" t="s">
        <v>489</v>
      </c>
    </row>
    <row r="8" spans="1:6" ht="21.75" customHeight="1">
      <c r="B8" s="408" t="s">
        <v>278</v>
      </c>
      <c r="C8" s="409" t="s">
        <v>490</v>
      </c>
      <c r="D8" s="51" t="s">
        <v>491</v>
      </c>
    </row>
    <row r="9" spans="1:6" ht="21.75" customHeight="1">
      <c r="B9" s="408" t="s">
        <v>267</v>
      </c>
      <c r="C9" s="409" t="s">
        <v>492</v>
      </c>
      <c r="D9" s="51" t="s">
        <v>493</v>
      </c>
    </row>
    <row r="10" spans="1:6" ht="21.75" customHeight="1">
      <c r="B10" s="410" t="s">
        <v>356</v>
      </c>
      <c r="C10" s="411" t="s">
        <v>494</v>
      </c>
      <c r="D10" s="410" t="s">
        <v>495</v>
      </c>
    </row>
    <row r="11" spans="1:6" ht="21.75" customHeight="1">
      <c r="B11" s="412" t="s">
        <v>496</v>
      </c>
      <c r="C11" s="413" t="s">
        <v>497</v>
      </c>
      <c r="D11" s="414" t="s">
        <v>498</v>
      </c>
    </row>
    <row r="12" spans="1:6" ht="21.75" customHeight="1">
      <c r="B12" s="408" t="s">
        <v>268</v>
      </c>
      <c r="C12" s="409" t="s">
        <v>499</v>
      </c>
      <c r="D12" s="51" t="s">
        <v>500</v>
      </c>
    </row>
    <row r="13" spans="1:6" ht="21.75" customHeight="1">
      <c r="B13" s="412" t="s">
        <v>269</v>
      </c>
      <c r="C13" s="413" t="s">
        <v>501</v>
      </c>
      <c r="D13" s="414" t="s">
        <v>502</v>
      </c>
    </row>
    <row r="14" spans="1:6" ht="21.75" customHeight="1">
      <c r="B14" s="410" t="s">
        <v>360</v>
      </c>
      <c r="C14" s="411" t="s">
        <v>503</v>
      </c>
      <c r="D14" s="410" t="s">
        <v>504</v>
      </c>
    </row>
    <row r="15" spans="1:6" ht="21.75" customHeight="1">
      <c r="B15" s="50" t="s">
        <v>505</v>
      </c>
      <c r="C15" s="409" t="s">
        <v>506</v>
      </c>
      <c r="D15" s="51" t="s">
        <v>507</v>
      </c>
    </row>
    <row r="18" spans="1:6" ht="21.75" customHeight="1">
      <c r="A18" s="688" t="s">
        <v>508</v>
      </c>
      <c r="B18" s="688"/>
      <c r="C18" s="688"/>
      <c r="D18" s="688"/>
      <c r="E18" s="688"/>
      <c r="F18" s="688"/>
    </row>
    <row r="19" spans="1:6" ht="21.75" customHeight="1">
      <c r="B19" s="689" t="s">
        <v>509</v>
      </c>
      <c r="C19" s="51" t="s">
        <v>510</v>
      </c>
      <c r="D19" s="690" t="s">
        <v>511</v>
      </c>
      <c r="E19" s="690"/>
      <c r="F19" s="690"/>
    </row>
    <row r="20" spans="1:6" ht="34.5" customHeight="1">
      <c r="B20" s="689"/>
      <c r="C20" s="50"/>
      <c r="D20" s="690"/>
      <c r="E20" s="690"/>
      <c r="F20" s="690"/>
    </row>
    <row r="21" spans="1:6" ht="21.75" customHeight="1">
      <c r="B21" s="694" t="s">
        <v>512</v>
      </c>
      <c r="C21" s="417" t="s">
        <v>513</v>
      </c>
      <c r="D21" s="695" t="s">
        <v>514</v>
      </c>
      <c r="E21" s="695"/>
      <c r="F21" s="695"/>
    </row>
    <row r="22" spans="1:6" ht="34.5" customHeight="1">
      <c r="B22" s="694"/>
      <c r="C22" s="255"/>
      <c r="D22" s="695"/>
      <c r="E22" s="695"/>
      <c r="F22" s="695"/>
    </row>
    <row r="23" spans="1:6" ht="21.75" customHeight="1">
      <c r="B23" s="694" t="s">
        <v>515</v>
      </c>
      <c r="C23" s="417" t="s">
        <v>516</v>
      </c>
      <c r="D23" s="696" t="s">
        <v>517</v>
      </c>
      <c r="E23" s="696"/>
      <c r="F23" s="696"/>
    </row>
    <row r="24" spans="1:6" ht="34.5" customHeight="1">
      <c r="B24" s="694"/>
      <c r="C24" s="255"/>
      <c r="D24" s="696"/>
      <c r="E24" s="696"/>
      <c r="F24" s="696"/>
    </row>
    <row r="25" spans="1:6" ht="21.75" customHeight="1">
      <c r="B25" s="697" t="s">
        <v>518</v>
      </c>
      <c r="C25" s="419" t="s">
        <v>519</v>
      </c>
      <c r="D25" s="698" t="s">
        <v>520</v>
      </c>
      <c r="E25" s="698"/>
      <c r="F25" s="698"/>
    </row>
    <row r="26" spans="1:6" ht="34.5" customHeight="1">
      <c r="B26" s="697"/>
      <c r="C26" s="60"/>
      <c r="D26" s="698"/>
      <c r="E26" s="698"/>
      <c r="F26" s="698"/>
    </row>
    <row r="28" spans="1:6" ht="21.75" customHeight="1">
      <c r="A28" s="691" t="s">
        <v>521</v>
      </c>
      <c r="B28" s="691"/>
      <c r="C28" s="691"/>
      <c r="D28" s="691"/>
      <c r="E28" s="691"/>
      <c r="F28" s="691"/>
    </row>
    <row r="29" spans="1:6" ht="21.75" customHeight="1">
      <c r="B29" s="304" t="s">
        <v>522</v>
      </c>
      <c r="C29" s="304" t="s">
        <v>523</v>
      </c>
      <c r="D29" s="304" t="s">
        <v>524</v>
      </c>
      <c r="E29" s="304" t="s">
        <v>525</v>
      </c>
      <c r="F29" s="304" t="s">
        <v>526</v>
      </c>
    </row>
    <row r="30" spans="1:6" ht="75" customHeight="1">
      <c r="B30" s="420" t="s">
        <v>527</v>
      </c>
      <c r="C30" s="421" t="s">
        <v>528</v>
      </c>
      <c r="D30" s="422" t="s">
        <v>529</v>
      </c>
      <c r="E30" s="423" t="s">
        <v>530</v>
      </c>
      <c r="F30" s="416" t="s">
        <v>531</v>
      </c>
    </row>
    <row r="31" spans="1:6" ht="75" customHeight="1">
      <c r="B31" s="420" t="s">
        <v>532</v>
      </c>
      <c r="C31" s="421" t="s">
        <v>533</v>
      </c>
      <c r="D31" s="422" t="s">
        <v>534</v>
      </c>
      <c r="E31" s="423" t="s">
        <v>535</v>
      </c>
      <c r="F31" s="416" t="s">
        <v>531</v>
      </c>
    </row>
    <row r="32" spans="1:6" ht="75" customHeight="1">
      <c r="B32" s="420" t="s">
        <v>536</v>
      </c>
      <c r="C32" s="421" t="s">
        <v>537</v>
      </c>
      <c r="D32" s="422" t="s">
        <v>538</v>
      </c>
      <c r="E32" s="423" t="s">
        <v>539</v>
      </c>
      <c r="F32" s="418" t="s">
        <v>540</v>
      </c>
    </row>
    <row r="33" spans="1:6" ht="75" customHeight="1">
      <c r="B33" s="420" t="s">
        <v>541</v>
      </c>
      <c r="C33" s="421" t="s">
        <v>542</v>
      </c>
      <c r="D33" s="424" t="s">
        <v>543</v>
      </c>
      <c r="E33" s="423" t="s">
        <v>544</v>
      </c>
      <c r="F33" s="418" t="s">
        <v>540</v>
      </c>
    </row>
    <row r="34" spans="1:6" ht="75" customHeight="1">
      <c r="B34" s="425" t="s">
        <v>545</v>
      </c>
      <c r="C34" s="426" t="s">
        <v>546</v>
      </c>
      <c r="D34" s="424" t="s">
        <v>547</v>
      </c>
      <c r="E34" s="423" t="s">
        <v>548</v>
      </c>
      <c r="F34" s="415" t="s">
        <v>549</v>
      </c>
    </row>
    <row r="35" spans="1:6" ht="75" customHeight="1">
      <c r="B35" s="420" t="s">
        <v>550</v>
      </c>
      <c r="C35" s="421" t="s">
        <v>551</v>
      </c>
      <c r="D35" s="424" t="s">
        <v>552</v>
      </c>
      <c r="E35" s="423" t="s">
        <v>553</v>
      </c>
      <c r="F35" s="416" t="s">
        <v>531</v>
      </c>
    </row>
    <row r="36" spans="1:6" ht="75" customHeight="1">
      <c r="B36" s="420" t="s">
        <v>554</v>
      </c>
      <c r="C36" s="421" t="s">
        <v>555</v>
      </c>
      <c r="D36" s="422" t="s">
        <v>556</v>
      </c>
      <c r="E36" s="423" t="s">
        <v>557</v>
      </c>
      <c r="F36" s="427" t="s">
        <v>558</v>
      </c>
    </row>
    <row r="38" spans="1:6" ht="21.75" customHeight="1">
      <c r="A38" s="692" t="s">
        <v>559</v>
      </c>
      <c r="B38" s="692"/>
      <c r="C38" s="692"/>
      <c r="D38" s="692"/>
      <c r="E38" s="692"/>
      <c r="F38" s="692"/>
    </row>
    <row r="39" spans="1:6" ht="21.75" customHeight="1">
      <c r="A39" s="226"/>
      <c r="B39" s="693" t="s">
        <v>560</v>
      </c>
      <c r="C39" s="693"/>
      <c r="D39" s="693"/>
      <c r="E39" s="693"/>
      <c r="F39" s="693"/>
    </row>
    <row r="40" spans="1:6" ht="21.75" customHeight="1">
      <c r="A40" s="226"/>
      <c r="B40" s="693"/>
      <c r="C40" s="693"/>
      <c r="D40" s="693"/>
      <c r="E40" s="693"/>
      <c r="F40" s="693"/>
    </row>
    <row r="41" spans="1:6" ht="21.75" customHeight="1">
      <c r="A41" s="226"/>
      <c r="B41" s="693"/>
      <c r="C41" s="693"/>
      <c r="D41" s="693"/>
      <c r="E41" s="693"/>
      <c r="F41" s="693"/>
    </row>
    <row r="42" spans="1:6" ht="21.75" customHeight="1">
      <c r="A42" s="226"/>
      <c r="B42" s="693"/>
      <c r="C42" s="693"/>
      <c r="D42" s="693"/>
      <c r="E42" s="693"/>
      <c r="F42" s="693"/>
    </row>
  </sheetData>
  <mergeCells count="15">
    <mergeCell ref="A28:F28"/>
    <mergeCell ref="A38:F38"/>
    <mergeCell ref="B39:F42"/>
    <mergeCell ref="B21:B22"/>
    <mergeCell ref="D21:F22"/>
    <mergeCell ref="B23:B24"/>
    <mergeCell ref="D23:F24"/>
    <mergeCell ref="B25:B26"/>
    <mergeCell ref="D25:F26"/>
    <mergeCell ref="A1:F1"/>
    <mergeCell ref="A2:F2"/>
    <mergeCell ref="A4:F4"/>
    <mergeCell ref="A18:F18"/>
    <mergeCell ref="B19:B20"/>
    <mergeCell ref="D19:F20"/>
  </mergeCells>
  <phoneticPr fontId="202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zoomScaleNormal="100" workbookViewId="0">
      <selection sqref="A1:G1"/>
    </sheetView>
  </sheetViews>
  <sheetFormatPr defaultColWidth="8.6640625" defaultRowHeight="14.25"/>
  <cols>
    <col min="1" max="1" width="6" customWidth="1"/>
    <col min="2" max="2" width="8" customWidth="1"/>
    <col min="3" max="3" width="18" customWidth="1"/>
    <col min="4" max="4" width="16" customWidth="1"/>
    <col min="5" max="5" width="18" customWidth="1"/>
    <col min="6" max="6" width="10" customWidth="1"/>
    <col min="7" max="7" width="20" customWidth="1"/>
  </cols>
  <sheetData>
    <row r="1" spans="1:7" ht="18.75" customHeight="1">
      <c r="A1" s="700" t="s">
        <v>561</v>
      </c>
      <c r="B1" s="700"/>
      <c r="C1" s="700"/>
      <c r="D1" s="700"/>
      <c r="E1" s="700"/>
      <c r="F1" s="700"/>
      <c r="G1" s="700"/>
    </row>
    <row r="2" spans="1:7" ht="15" customHeight="1">
      <c r="A2" s="428" t="s">
        <v>562</v>
      </c>
    </row>
    <row r="4" spans="1:7" ht="15" customHeight="1">
      <c r="A4" s="390" t="s">
        <v>178</v>
      </c>
      <c r="B4" s="429" t="s">
        <v>563</v>
      </c>
      <c r="C4" s="390" t="s">
        <v>564</v>
      </c>
      <c r="D4" s="390" t="s">
        <v>565</v>
      </c>
      <c r="E4" s="390" t="s">
        <v>566</v>
      </c>
      <c r="F4" s="390" t="s">
        <v>567</v>
      </c>
      <c r="G4" s="429" t="s">
        <v>568</v>
      </c>
    </row>
    <row r="5" spans="1:7" ht="15" customHeight="1">
      <c r="A5" s="430" t="s">
        <v>569</v>
      </c>
      <c r="B5" s="430" t="s">
        <v>570</v>
      </c>
      <c r="C5" s="431">
        <v>126000</v>
      </c>
      <c r="D5" s="431">
        <v>76290</v>
      </c>
      <c r="E5" s="432">
        <v>45774</v>
      </c>
      <c r="F5" s="433">
        <v>0.36328571428571399</v>
      </c>
      <c r="G5" s="434">
        <v>1353989</v>
      </c>
    </row>
    <row r="6" spans="1:7" ht="15" customHeight="1">
      <c r="A6" s="435" t="s">
        <v>571</v>
      </c>
      <c r="B6" s="435" t="s">
        <v>572</v>
      </c>
      <c r="C6" s="436">
        <v>108000</v>
      </c>
      <c r="D6" s="436">
        <v>64894</v>
      </c>
      <c r="E6" s="437">
        <v>38936</v>
      </c>
      <c r="F6" s="438">
        <v>0.36051851851851902</v>
      </c>
      <c r="G6" s="434">
        <v>534090</v>
      </c>
    </row>
    <row r="7" spans="1:7" ht="15" customHeight="1">
      <c r="A7" s="430" t="s">
        <v>573</v>
      </c>
      <c r="B7" s="430" t="s">
        <v>574</v>
      </c>
      <c r="C7" s="431">
        <v>104400</v>
      </c>
      <c r="D7" s="431">
        <v>60940</v>
      </c>
      <c r="E7" s="432">
        <v>36564</v>
      </c>
      <c r="F7" s="433">
        <v>0.35022988505747099</v>
      </c>
      <c r="G7" s="434">
        <v>624090</v>
      </c>
    </row>
    <row r="8" spans="1:7" ht="15" customHeight="1">
      <c r="A8" s="435" t="s">
        <v>575</v>
      </c>
      <c r="B8" s="435" t="s">
        <v>576</v>
      </c>
      <c r="C8" s="436">
        <v>295920</v>
      </c>
      <c r="D8" s="436">
        <v>197016</v>
      </c>
      <c r="E8" s="437">
        <v>118210</v>
      </c>
      <c r="F8" s="438">
        <v>0.39946607191132699</v>
      </c>
      <c r="G8" s="434">
        <v>1660509</v>
      </c>
    </row>
    <row r="9" spans="1:7" ht="15" customHeight="1">
      <c r="A9" s="430" t="s">
        <v>577</v>
      </c>
      <c r="B9" s="430" t="s">
        <v>578</v>
      </c>
      <c r="C9" s="431">
        <v>313552</v>
      </c>
      <c r="D9" s="431">
        <v>225910</v>
      </c>
      <c r="E9" s="432">
        <v>135546</v>
      </c>
      <c r="F9" s="433">
        <v>0.432291932438639</v>
      </c>
      <c r="G9" s="434">
        <v>1421289</v>
      </c>
    </row>
    <row r="10" spans="1:7" ht="15" customHeight="1">
      <c r="A10" s="435" t="s">
        <v>579</v>
      </c>
      <c r="B10" s="435" t="s">
        <v>580</v>
      </c>
      <c r="C10" s="436">
        <v>1056880</v>
      </c>
      <c r="D10" s="436">
        <v>670576</v>
      </c>
      <c r="E10" s="437">
        <v>402346</v>
      </c>
      <c r="F10" s="438">
        <v>0.38069222617515702</v>
      </c>
      <c r="G10" s="434">
        <v>1500336</v>
      </c>
    </row>
    <row r="11" spans="1:7" ht="15" customHeight="1">
      <c r="A11" s="430" t="s">
        <v>581</v>
      </c>
      <c r="B11" s="430" t="s">
        <v>582</v>
      </c>
      <c r="C11" s="431">
        <v>1115500</v>
      </c>
      <c r="D11" s="431">
        <v>723570</v>
      </c>
      <c r="E11" s="432">
        <v>434142</v>
      </c>
      <c r="F11" s="433">
        <v>0.389190497534738</v>
      </c>
      <c r="G11" s="434">
        <v>1564752</v>
      </c>
    </row>
    <row r="12" spans="1:7" ht="18" customHeight="1">
      <c r="A12" s="439" t="s">
        <v>583</v>
      </c>
      <c r="B12" s="440" t="s">
        <v>584</v>
      </c>
      <c r="C12" s="441">
        <v>1112901</v>
      </c>
      <c r="D12" s="441">
        <v>480413</v>
      </c>
      <c r="E12" s="442">
        <v>288248</v>
      </c>
      <c r="F12" s="443">
        <v>0.25900600000000001</v>
      </c>
      <c r="G12" s="444">
        <v>1385752</v>
      </c>
    </row>
    <row r="13" spans="1:7" ht="18" customHeight="1">
      <c r="A13" s="445" t="s">
        <v>585</v>
      </c>
      <c r="B13" s="446" t="s">
        <v>586</v>
      </c>
      <c r="C13" s="447">
        <v>2485372</v>
      </c>
      <c r="D13" s="447">
        <v>1252092</v>
      </c>
      <c r="E13" s="448">
        <v>751255</v>
      </c>
      <c r="F13" s="449">
        <v>0.30227100000000001</v>
      </c>
      <c r="G13" s="444">
        <v>1385752</v>
      </c>
    </row>
    <row r="14" spans="1:7" ht="18" customHeight="1">
      <c r="A14" s="450" t="s">
        <v>587</v>
      </c>
      <c r="B14" s="440" t="s">
        <v>588</v>
      </c>
      <c r="C14" s="451">
        <v>9400000</v>
      </c>
      <c r="D14" s="451">
        <v>3366667</v>
      </c>
      <c r="E14" s="452">
        <v>2020000</v>
      </c>
      <c r="F14" s="443">
        <v>0.214894</v>
      </c>
      <c r="G14" s="444">
        <v>1353989</v>
      </c>
    </row>
    <row r="15" spans="1:7" ht="15" customHeight="1"/>
    <row r="17" spans="1:7" ht="15" customHeight="1"/>
    <row r="18" spans="1:7" ht="13.5" customHeight="1">
      <c r="A18" s="701" t="s">
        <v>274</v>
      </c>
      <c r="B18" s="701"/>
      <c r="C18" s="701"/>
      <c r="D18" s="701"/>
      <c r="E18" s="701"/>
      <c r="F18" s="701"/>
      <c r="G18" s="701"/>
    </row>
    <row r="19" spans="1:7" ht="13.5" customHeight="1">
      <c r="A19" s="637"/>
      <c r="B19" s="637"/>
      <c r="C19" s="637"/>
      <c r="D19" s="637"/>
      <c r="E19" s="637"/>
      <c r="F19" s="637"/>
      <c r="G19" s="637"/>
    </row>
    <row r="20" spans="1:7" ht="13.5" customHeight="1">
      <c r="A20" s="702" t="s">
        <v>589</v>
      </c>
      <c r="B20" s="702"/>
      <c r="C20" s="702"/>
      <c r="D20" s="702"/>
      <c r="E20" s="702"/>
      <c r="F20" s="702"/>
      <c r="G20" s="702"/>
    </row>
    <row r="21" spans="1:7" ht="13.5" customHeight="1">
      <c r="A21" s="699" t="s">
        <v>590</v>
      </c>
      <c r="B21" s="699"/>
      <c r="C21" s="699"/>
      <c r="D21" s="699"/>
      <c r="E21" s="699"/>
      <c r="F21" s="699"/>
      <c r="G21" s="699"/>
    </row>
    <row r="22" spans="1:7" ht="13.5" customHeight="1">
      <c r="A22" s="699" t="s">
        <v>591</v>
      </c>
      <c r="B22" s="699"/>
      <c r="C22" s="699"/>
      <c r="D22" s="699"/>
      <c r="E22" s="699"/>
      <c r="F22" s="699"/>
      <c r="G22" s="699"/>
    </row>
    <row r="23" spans="1:7" ht="15" customHeight="1">
      <c r="A23" s="453" t="s">
        <v>592</v>
      </c>
    </row>
    <row r="24" spans="1:7" ht="15" customHeight="1">
      <c r="A24" s="453" t="s">
        <v>593</v>
      </c>
    </row>
    <row r="25" spans="1:7" ht="15" customHeight="1">
      <c r="A25" s="453" t="s">
        <v>594</v>
      </c>
    </row>
  </sheetData>
  <mergeCells count="6">
    <mergeCell ref="A22:G22"/>
    <mergeCell ref="A1:G1"/>
    <mergeCell ref="A18:G18"/>
    <mergeCell ref="A19:G19"/>
    <mergeCell ref="A20:G20"/>
    <mergeCell ref="A21:G21"/>
  </mergeCells>
  <phoneticPr fontId="202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90"/>
  <sheetViews>
    <sheetView tabSelected="1" topLeftCell="B19" zoomScale="85" zoomScaleNormal="85" workbookViewId="0">
      <selection activeCell="B25" sqref="B25"/>
    </sheetView>
  </sheetViews>
  <sheetFormatPr defaultColWidth="8.6640625" defaultRowHeight="14.25"/>
  <cols>
    <col min="1" max="1" width="2" customWidth="1"/>
    <col min="2" max="2" width="20.1328125" customWidth="1"/>
    <col min="3" max="11" width="9" customWidth="1"/>
    <col min="12" max="19" width="7" customWidth="1"/>
    <col min="20" max="21" width="13" customWidth="1"/>
    <col min="22" max="22" width="22" customWidth="1"/>
  </cols>
  <sheetData>
    <row r="1" spans="2:18" ht="21.75" customHeight="1">
      <c r="B1" s="610" t="s">
        <v>595</v>
      </c>
      <c r="C1" s="610"/>
      <c r="D1" s="610"/>
      <c r="E1" s="610"/>
      <c r="F1" s="610"/>
      <c r="G1" s="610"/>
      <c r="H1" s="610"/>
      <c r="I1" s="610"/>
      <c r="J1" s="610"/>
    </row>
    <row r="2" spans="2:18" ht="30" customHeight="1">
      <c r="B2" s="454" t="s">
        <v>596</v>
      </c>
      <c r="C2" s="455" t="s">
        <v>597</v>
      </c>
      <c r="D2" s="455" t="s">
        <v>598</v>
      </c>
      <c r="E2" s="455" t="s">
        <v>599</v>
      </c>
      <c r="F2" s="455" t="s">
        <v>600</v>
      </c>
    </row>
    <row r="3" spans="2:18" ht="30" customHeight="1">
      <c r="B3" s="456" t="s">
        <v>601</v>
      </c>
      <c r="C3" s="457" t="s">
        <v>602</v>
      </c>
      <c r="D3" s="458" t="s">
        <v>603</v>
      </c>
      <c r="E3" s="459" t="s">
        <v>604</v>
      </c>
      <c r="F3" s="456" t="s">
        <v>605</v>
      </c>
    </row>
    <row r="4" spans="2:18" ht="30" customHeight="1">
      <c r="B4" s="460" t="s">
        <v>606</v>
      </c>
      <c r="C4" s="461" t="s">
        <v>607</v>
      </c>
      <c r="D4" s="462" t="s">
        <v>608</v>
      </c>
      <c r="E4" s="460" t="s">
        <v>609</v>
      </c>
      <c r="F4" s="460" t="s">
        <v>610</v>
      </c>
    </row>
    <row r="5" spans="2:18" ht="30" customHeight="1">
      <c r="B5" s="456" t="s">
        <v>611</v>
      </c>
      <c r="C5" s="463" t="s">
        <v>612</v>
      </c>
      <c r="D5" s="458" t="s">
        <v>613</v>
      </c>
      <c r="E5" s="456" t="s">
        <v>614</v>
      </c>
      <c r="F5" s="456" t="s">
        <v>615</v>
      </c>
    </row>
    <row r="6" spans="2:18" ht="30" customHeight="1">
      <c r="B6" s="464" t="s">
        <v>616</v>
      </c>
      <c r="C6" s="461" t="s">
        <v>617</v>
      </c>
      <c r="D6" s="462" t="s">
        <v>618</v>
      </c>
      <c r="E6" s="460" t="s">
        <v>619</v>
      </c>
      <c r="F6" s="460" t="s">
        <v>620</v>
      </c>
    </row>
    <row r="7" spans="2:18" ht="30" customHeight="1">
      <c r="B7" s="456" t="s">
        <v>621</v>
      </c>
      <c r="C7" s="463" t="s">
        <v>622</v>
      </c>
      <c r="D7" s="458" t="s">
        <v>623</v>
      </c>
      <c r="E7" s="456" t="s">
        <v>624</v>
      </c>
      <c r="F7" s="456" t="s">
        <v>625</v>
      </c>
    </row>
    <row r="8" spans="2:18" ht="30" customHeight="1">
      <c r="B8" s="464" t="s">
        <v>626</v>
      </c>
      <c r="C8" s="461" t="s">
        <v>627</v>
      </c>
      <c r="D8" s="462" t="s">
        <v>628</v>
      </c>
      <c r="E8" s="460" t="s">
        <v>629</v>
      </c>
      <c r="F8" s="460" t="s">
        <v>630</v>
      </c>
    </row>
    <row r="10" spans="2:18" ht="21.75" customHeight="1">
      <c r="B10" s="611" t="s">
        <v>631</v>
      </c>
      <c r="C10" s="611"/>
      <c r="D10" s="611"/>
      <c r="E10" s="611"/>
      <c r="F10" s="611"/>
      <c r="G10" s="611"/>
      <c r="H10" s="611"/>
      <c r="I10" s="611"/>
      <c r="J10" s="611"/>
    </row>
    <row r="11" spans="2:18" ht="30" customHeight="1">
      <c r="B11" s="465" t="s">
        <v>482</v>
      </c>
      <c r="C11" s="466" t="s">
        <v>632</v>
      </c>
      <c r="D11" s="466" t="s">
        <v>633</v>
      </c>
      <c r="E11" s="466" t="s">
        <v>634</v>
      </c>
      <c r="F11" s="466" t="s">
        <v>635</v>
      </c>
      <c r="G11" s="467" t="s">
        <v>636</v>
      </c>
      <c r="H11" s="467" t="s">
        <v>637</v>
      </c>
      <c r="I11" s="467" t="s">
        <v>638</v>
      </c>
      <c r="J11" s="467" t="s">
        <v>639</v>
      </c>
      <c r="K11" s="468" t="s">
        <v>640</v>
      </c>
      <c r="L11" s="468" t="s">
        <v>641</v>
      </c>
      <c r="M11" s="468" t="s">
        <v>642</v>
      </c>
      <c r="N11" s="468" t="s">
        <v>643</v>
      </c>
      <c r="O11" s="468" t="s">
        <v>644</v>
      </c>
      <c r="P11" s="469" t="s">
        <v>645</v>
      </c>
      <c r="Q11" s="469" t="s">
        <v>646</v>
      </c>
      <c r="R11" s="470" t="s">
        <v>647</v>
      </c>
    </row>
    <row r="12" spans="2:18" ht="15.75" customHeight="1">
      <c r="B12" s="471" t="s">
        <v>648</v>
      </c>
      <c r="C12" s="472" t="s">
        <v>649</v>
      </c>
      <c r="D12" s="472" t="s">
        <v>649</v>
      </c>
      <c r="E12" s="472" t="s">
        <v>649</v>
      </c>
      <c r="F12" s="472" t="s">
        <v>649</v>
      </c>
      <c r="G12" s="473">
        <v>3</v>
      </c>
      <c r="H12" s="474">
        <v>7</v>
      </c>
      <c r="I12" s="474">
        <v>8</v>
      </c>
      <c r="J12" s="474">
        <v>3</v>
      </c>
      <c r="K12" s="441">
        <v>3</v>
      </c>
      <c r="L12" s="475">
        <v>2</v>
      </c>
      <c r="M12" s="441">
        <v>6</v>
      </c>
      <c r="N12" s="475">
        <v>3</v>
      </c>
      <c r="O12" s="441">
        <v>4</v>
      </c>
      <c r="P12" s="476"/>
      <c r="Q12" s="476"/>
      <c r="R12" s="477" t="s">
        <v>72</v>
      </c>
    </row>
    <row r="13" spans="2:18" ht="15.75" customHeight="1">
      <c r="B13" s="478" t="s">
        <v>650</v>
      </c>
      <c r="C13" s="479" t="s">
        <v>72</v>
      </c>
      <c r="D13" s="479" t="s">
        <v>72</v>
      </c>
      <c r="E13" s="479" t="s">
        <v>72</v>
      </c>
      <c r="F13" s="479" t="s">
        <v>72</v>
      </c>
      <c r="G13" s="473">
        <v>60</v>
      </c>
      <c r="H13" s="474">
        <v>280</v>
      </c>
      <c r="I13" s="474">
        <v>108</v>
      </c>
      <c r="J13" s="474">
        <v>120</v>
      </c>
      <c r="K13" s="441">
        <v>67</v>
      </c>
      <c r="L13" s="475">
        <v>40</v>
      </c>
      <c r="M13" s="441">
        <v>100</v>
      </c>
      <c r="N13" s="475">
        <v>60</v>
      </c>
      <c r="O13" s="441">
        <v>54</v>
      </c>
      <c r="P13" s="476"/>
      <c r="Q13" s="476"/>
      <c r="R13" s="480">
        <v>321</v>
      </c>
    </row>
    <row r="14" spans="2:18" ht="15.75" customHeight="1">
      <c r="B14" s="481" t="s">
        <v>616</v>
      </c>
      <c r="C14" s="482" t="s">
        <v>72</v>
      </c>
      <c r="D14" s="482" t="s">
        <v>72</v>
      </c>
      <c r="E14" s="482" t="s">
        <v>72</v>
      </c>
      <c r="F14" s="482" t="s">
        <v>72</v>
      </c>
      <c r="G14" s="483">
        <v>20</v>
      </c>
      <c r="H14" s="484">
        <v>40</v>
      </c>
      <c r="I14" s="484">
        <v>13.5</v>
      </c>
      <c r="J14" s="484">
        <v>40</v>
      </c>
      <c r="K14" s="485">
        <v>22.3</v>
      </c>
      <c r="L14" s="486">
        <v>20</v>
      </c>
      <c r="M14" s="485">
        <v>16.7</v>
      </c>
      <c r="N14" s="486">
        <v>20</v>
      </c>
      <c r="O14" s="485">
        <v>13.5</v>
      </c>
      <c r="P14" s="476"/>
      <c r="Q14" s="476"/>
      <c r="R14" s="487" t="s">
        <v>72</v>
      </c>
    </row>
    <row r="15" spans="2:18" ht="15.75" customHeight="1">
      <c r="B15" s="478" t="s">
        <v>651</v>
      </c>
      <c r="C15" s="479" t="s">
        <v>72</v>
      </c>
      <c r="D15" s="479" t="s">
        <v>72</v>
      </c>
      <c r="E15" s="479" t="s">
        <v>72</v>
      </c>
      <c r="F15" s="479" t="s">
        <v>72</v>
      </c>
      <c r="G15" s="488">
        <v>171980</v>
      </c>
      <c r="H15" s="474">
        <v>739200</v>
      </c>
      <c r="I15" s="474">
        <v>285120</v>
      </c>
      <c r="J15" s="474">
        <v>316800</v>
      </c>
      <c r="K15" s="441">
        <v>176880</v>
      </c>
      <c r="L15" s="475">
        <v>105600</v>
      </c>
      <c r="M15" s="441">
        <v>264000</v>
      </c>
      <c r="N15" s="475">
        <v>158400</v>
      </c>
      <c r="O15" s="441">
        <v>142560</v>
      </c>
      <c r="P15" s="476"/>
      <c r="Q15" s="476"/>
      <c r="R15" s="480">
        <v>847440</v>
      </c>
    </row>
    <row r="16" spans="2:18" ht="15.75" customHeight="1">
      <c r="B16" s="471" t="s">
        <v>652</v>
      </c>
      <c r="C16" s="489" t="s">
        <v>72</v>
      </c>
      <c r="D16" s="479" t="s">
        <v>72</v>
      </c>
      <c r="E16" s="479" t="s">
        <v>72</v>
      </c>
      <c r="F16" s="479" t="s">
        <v>72</v>
      </c>
      <c r="G16" s="483" t="s">
        <v>72</v>
      </c>
      <c r="H16" s="490" t="s">
        <v>72</v>
      </c>
      <c r="I16" s="474">
        <v>4</v>
      </c>
      <c r="J16" s="474">
        <v>1</v>
      </c>
      <c r="K16" s="441">
        <v>0</v>
      </c>
      <c r="L16" s="475">
        <v>0</v>
      </c>
      <c r="M16" s="441">
        <v>1</v>
      </c>
      <c r="N16" s="475">
        <v>0</v>
      </c>
      <c r="O16" s="441">
        <v>1</v>
      </c>
      <c r="P16" s="476"/>
      <c r="Q16" s="476"/>
      <c r="R16" s="487" t="s">
        <v>72</v>
      </c>
    </row>
    <row r="17" spans="1:19" ht="15.75" customHeight="1">
      <c r="B17" s="478" t="s">
        <v>653</v>
      </c>
      <c r="C17" s="489" t="s">
        <v>72</v>
      </c>
      <c r="D17" s="489" t="s">
        <v>72</v>
      </c>
      <c r="E17" s="489" t="s">
        <v>72</v>
      </c>
      <c r="F17" s="489" t="s">
        <v>72</v>
      </c>
      <c r="G17" s="483" t="s">
        <v>72</v>
      </c>
      <c r="H17" s="490" t="s">
        <v>72</v>
      </c>
      <c r="I17" s="491" t="s">
        <v>654</v>
      </c>
      <c r="J17" s="491" t="s">
        <v>655</v>
      </c>
      <c r="K17" s="139" t="s">
        <v>656</v>
      </c>
      <c r="L17" s="492" t="s">
        <v>656</v>
      </c>
      <c r="M17" s="493" t="s">
        <v>657</v>
      </c>
      <c r="N17" s="492" t="s">
        <v>656</v>
      </c>
      <c r="O17" s="493" t="s">
        <v>658</v>
      </c>
      <c r="P17" s="476"/>
      <c r="Q17" s="476"/>
      <c r="R17" s="487" t="s">
        <v>72</v>
      </c>
    </row>
    <row r="18" spans="1:19" ht="31.5" customHeight="1">
      <c r="B18" s="612" t="s">
        <v>659</v>
      </c>
      <c r="C18" s="612"/>
      <c r="D18" s="612"/>
      <c r="E18" s="612"/>
      <c r="F18" s="612"/>
      <c r="G18" s="612"/>
      <c r="H18" s="612"/>
      <c r="I18" s="612"/>
      <c r="J18" s="612"/>
      <c r="K18" s="612"/>
      <c r="L18" s="612"/>
      <c r="M18" s="612"/>
      <c r="N18" s="612"/>
      <c r="O18" s="612"/>
      <c r="P18" s="612"/>
      <c r="Q18" s="612"/>
      <c r="R18" s="612"/>
      <c r="S18" s="612"/>
    </row>
    <row r="20" spans="1:19" ht="21.75" customHeight="1">
      <c r="A20" s="494"/>
      <c r="B20" s="613" t="s">
        <v>660</v>
      </c>
      <c r="C20" s="613"/>
      <c r="D20" s="613"/>
      <c r="E20" s="613"/>
      <c r="F20" s="613"/>
      <c r="G20" s="613"/>
      <c r="H20" s="613"/>
      <c r="I20" s="613"/>
      <c r="J20" s="613"/>
      <c r="K20" s="613"/>
      <c r="L20" s="613"/>
      <c r="M20" s="613"/>
      <c r="N20" s="613"/>
      <c r="O20" s="613"/>
      <c r="P20" s="613"/>
      <c r="Q20" s="613"/>
      <c r="R20" s="613"/>
    </row>
    <row r="21" spans="1:19" ht="13.5" customHeight="1">
      <c r="A21" s="494"/>
      <c r="B21" s="614" t="s">
        <v>661</v>
      </c>
      <c r="C21" s="614"/>
      <c r="D21" s="614"/>
      <c r="E21" s="614"/>
      <c r="F21" s="614"/>
      <c r="G21" s="614"/>
      <c r="H21" s="614"/>
      <c r="I21" s="614"/>
      <c r="J21" s="614"/>
      <c r="K21" s="614"/>
      <c r="L21" s="614"/>
      <c r="M21" s="614"/>
      <c r="N21" s="614"/>
      <c r="O21" s="614"/>
      <c r="P21" s="614"/>
      <c r="Q21" s="614"/>
      <c r="R21" s="614"/>
    </row>
    <row r="22" spans="1:19" ht="36" customHeight="1">
      <c r="A22" s="494"/>
      <c r="B22" s="495" t="s">
        <v>417</v>
      </c>
      <c r="C22" s="496" t="s">
        <v>662</v>
      </c>
      <c r="D22" s="497" t="s">
        <v>663</v>
      </c>
      <c r="E22" s="498" t="s">
        <v>664</v>
      </c>
      <c r="F22" s="498" t="s">
        <v>665</v>
      </c>
      <c r="G22" s="498" t="s">
        <v>666</v>
      </c>
      <c r="H22" s="499" t="s">
        <v>667</v>
      </c>
      <c r="I22" s="498" t="s">
        <v>668</v>
      </c>
      <c r="J22" s="498" t="s">
        <v>669</v>
      </c>
      <c r="K22" s="498" t="s">
        <v>670</v>
      </c>
      <c r="L22" s="498" t="s">
        <v>671</v>
      </c>
      <c r="M22" s="500" t="s">
        <v>672</v>
      </c>
      <c r="N22" s="500" t="s">
        <v>673</v>
      </c>
      <c r="O22" s="501" t="s">
        <v>674</v>
      </c>
      <c r="P22" s="501" t="s">
        <v>675</v>
      </c>
      <c r="Q22" s="495" t="s">
        <v>676</v>
      </c>
      <c r="R22" s="494"/>
    </row>
    <row r="23" spans="1:19" ht="18" customHeight="1">
      <c r="A23" s="494"/>
      <c r="B23" s="502" t="s">
        <v>677</v>
      </c>
      <c r="C23" s="503" t="s">
        <v>18</v>
      </c>
      <c r="D23" s="504" t="s">
        <v>678</v>
      </c>
      <c r="E23" s="475">
        <v>90</v>
      </c>
      <c r="F23" s="475">
        <v>30</v>
      </c>
      <c r="G23" s="475">
        <v>30</v>
      </c>
      <c r="H23" s="516" t="s">
        <v>72</v>
      </c>
      <c r="I23" s="505">
        <v>30</v>
      </c>
      <c r="J23" s="505">
        <v>30</v>
      </c>
      <c r="K23" s="506" t="s">
        <v>72</v>
      </c>
      <c r="L23" s="507" t="s">
        <v>72</v>
      </c>
      <c r="M23" s="606">
        <v>72</v>
      </c>
      <c r="N23" s="508"/>
      <c r="O23" s="509">
        <v>150</v>
      </c>
      <c r="P23" s="446">
        <v>3</v>
      </c>
      <c r="Q23" s="510" t="s">
        <v>679</v>
      </c>
      <c r="R23" s="494"/>
    </row>
    <row r="24" spans="1:19" ht="18" customHeight="1">
      <c r="A24" s="494"/>
      <c r="B24" s="511" t="s">
        <v>680</v>
      </c>
      <c r="C24" s="512" t="s">
        <v>18</v>
      </c>
      <c r="D24" s="513" t="s">
        <v>681</v>
      </c>
      <c r="E24" s="514">
        <v>98</v>
      </c>
      <c r="F24" s="514">
        <v>30</v>
      </c>
      <c r="G24" s="515" t="s">
        <v>72</v>
      </c>
      <c r="H24" s="516" t="s">
        <v>72</v>
      </c>
      <c r="I24" s="515" t="s">
        <v>72</v>
      </c>
      <c r="J24" s="515" t="s">
        <v>72</v>
      </c>
      <c r="K24" s="516" t="s">
        <v>72</v>
      </c>
      <c r="L24" s="515" t="s">
        <v>72</v>
      </c>
      <c r="M24" s="606"/>
      <c r="N24" s="508"/>
      <c r="O24" s="509">
        <v>128</v>
      </c>
      <c r="P24" s="446">
        <v>2</v>
      </c>
      <c r="Q24" s="517" t="s">
        <v>682</v>
      </c>
      <c r="R24" s="494"/>
    </row>
    <row r="25" spans="1:19" ht="18" customHeight="1">
      <c r="A25" s="494"/>
      <c r="B25" s="518" t="s">
        <v>683</v>
      </c>
      <c r="C25" s="512" t="s">
        <v>18</v>
      </c>
      <c r="D25" s="519" t="s">
        <v>684</v>
      </c>
      <c r="E25" s="520">
        <v>24</v>
      </c>
      <c r="F25" s="520">
        <v>12</v>
      </c>
      <c r="G25" s="516" t="s">
        <v>72</v>
      </c>
      <c r="H25" s="520">
        <v>30</v>
      </c>
      <c r="I25" s="515" t="s">
        <v>72</v>
      </c>
      <c r="J25" s="515" t="s">
        <v>72</v>
      </c>
      <c r="K25" s="516" t="s">
        <v>72</v>
      </c>
      <c r="L25" s="520">
        <v>30</v>
      </c>
      <c r="M25" s="606"/>
      <c r="N25" s="508"/>
      <c r="O25" s="509">
        <v>96</v>
      </c>
      <c r="P25" s="446">
        <v>4</v>
      </c>
      <c r="Q25" s="521" t="s">
        <v>685</v>
      </c>
      <c r="R25" s="494"/>
    </row>
    <row r="26" spans="1:19" ht="18" customHeight="1">
      <c r="A26" s="494"/>
      <c r="B26" s="502" t="s">
        <v>686</v>
      </c>
      <c r="C26" s="503" t="s">
        <v>18</v>
      </c>
      <c r="D26" s="522" t="s">
        <v>687</v>
      </c>
      <c r="E26" s="475">
        <v>30</v>
      </c>
      <c r="F26" s="506" t="s">
        <v>72</v>
      </c>
      <c r="G26" s="475">
        <v>30</v>
      </c>
      <c r="H26" s="506" t="s">
        <v>72</v>
      </c>
      <c r="I26" s="507" t="s">
        <v>72</v>
      </c>
      <c r="J26" s="507" t="s">
        <v>72</v>
      </c>
      <c r="K26" s="506" t="s">
        <v>72</v>
      </c>
      <c r="L26" s="507" t="s">
        <v>72</v>
      </c>
      <c r="M26" s="606"/>
      <c r="N26" s="508"/>
      <c r="O26" s="509">
        <v>60</v>
      </c>
      <c r="P26" s="446">
        <v>2</v>
      </c>
      <c r="Q26" s="523" t="s">
        <v>682</v>
      </c>
      <c r="R26" s="494"/>
    </row>
    <row r="27" spans="1:19" ht="18" customHeight="1">
      <c r="A27" s="494"/>
      <c r="B27" s="502" t="s">
        <v>688</v>
      </c>
      <c r="C27" s="503" t="s">
        <v>18</v>
      </c>
      <c r="D27" s="522" t="s">
        <v>689</v>
      </c>
      <c r="E27" s="506" t="s">
        <v>72</v>
      </c>
      <c r="F27" s="507" t="s">
        <v>72</v>
      </c>
      <c r="G27" s="475">
        <v>60</v>
      </c>
      <c r="H27" s="506" t="s">
        <v>72</v>
      </c>
      <c r="I27" s="507" t="s">
        <v>72</v>
      </c>
      <c r="J27" s="507" t="s">
        <v>72</v>
      </c>
      <c r="K27" s="506" t="s">
        <v>72</v>
      </c>
      <c r="L27" s="507" t="s">
        <v>72</v>
      </c>
      <c r="M27" s="606"/>
      <c r="N27" s="508"/>
      <c r="O27" s="509">
        <v>60</v>
      </c>
      <c r="P27" s="446">
        <v>1</v>
      </c>
      <c r="Q27" s="523" t="s">
        <v>682</v>
      </c>
      <c r="R27" s="494"/>
    </row>
    <row r="28" spans="1:19" ht="18" customHeight="1">
      <c r="A28" s="494"/>
      <c r="B28" s="524" t="s">
        <v>690</v>
      </c>
      <c r="C28" s="503" t="s">
        <v>18</v>
      </c>
      <c r="D28" s="522" t="s">
        <v>691</v>
      </c>
      <c r="E28" s="507" t="s">
        <v>72</v>
      </c>
      <c r="F28" s="506" t="s">
        <v>72</v>
      </c>
      <c r="G28" s="506" t="s">
        <v>72</v>
      </c>
      <c r="H28" s="506" t="s">
        <v>72</v>
      </c>
      <c r="I28" s="507" t="s">
        <v>72</v>
      </c>
      <c r="J28" s="525">
        <v>24</v>
      </c>
      <c r="K28" s="506" t="s">
        <v>72</v>
      </c>
      <c r="L28" s="525">
        <v>12</v>
      </c>
      <c r="M28" s="606">
        <v>12</v>
      </c>
      <c r="N28" s="508"/>
      <c r="O28" s="509">
        <v>36</v>
      </c>
      <c r="P28" s="446">
        <v>2</v>
      </c>
      <c r="Q28" s="526" t="s">
        <v>685</v>
      </c>
      <c r="R28" s="494"/>
    </row>
    <row r="29" spans="1:19" ht="18" customHeight="1">
      <c r="A29" s="494"/>
      <c r="B29" s="511" t="s">
        <v>692</v>
      </c>
      <c r="C29" s="512" t="s">
        <v>18</v>
      </c>
      <c r="D29" s="519" t="s">
        <v>693</v>
      </c>
      <c r="E29" s="516" t="s">
        <v>72</v>
      </c>
      <c r="F29" s="516" t="s">
        <v>72</v>
      </c>
      <c r="G29" s="515" t="s">
        <v>72</v>
      </c>
      <c r="H29" s="516" t="s">
        <v>72</v>
      </c>
      <c r="I29" s="515" t="s">
        <v>72</v>
      </c>
      <c r="J29" s="515" t="s">
        <v>72</v>
      </c>
      <c r="K29" s="514">
        <v>36</v>
      </c>
      <c r="L29" s="515" t="s">
        <v>72</v>
      </c>
      <c r="M29" s="606">
        <v>36</v>
      </c>
      <c r="N29" s="508"/>
      <c r="O29" s="509">
        <v>36</v>
      </c>
      <c r="P29" s="446">
        <v>1</v>
      </c>
      <c r="Q29" s="521" t="s">
        <v>682</v>
      </c>
      <c r="R29" s="494"/>
    </row>
    <row r="30" spans="1:19" ht="18" customHeight="1">
      <c r="A30" s="494"/>
      <c r="B30" s="511" t="s">
        <v>694</v>
      </c>
      <c r="C30" s="512" t="s">
        <v>18</v>
      </c>
      <c r="D30" s="519" t="s">
        <v>695</v>
      </c>
      <c r="E30" s="514">
        <v>30</v>
      </c>
      <c r="F30" s="515" t="s">
        <v>72</v>
      </c>
      <c r="G30" s="515" t="s">
        <v>72</v>
      </c>
      <c r="H30" s="516" t="s">
        <v>72</v>
      </c>
      <c r="I30" s="515" t="s">
        <v>72</v>
      </c>
      <c r="J30" s="515" t="s">
        <v>72</v>
      </c>
      <c r="K30" s="516" t="s">
        <v>72</v>
      </c>
      <c r="L30" s="515" t="s">
        <v>72</v>
      </c>
      <c r="M30" s="606">
        <v>66</v>
      </c>
      <c r="N30" s="508"/>
      <c r="O30" s="509">
        <v>30</v>
      </c>
      <c r="P30" s="446">
        <v>1</v>
      </c>
      <c r="Q30" s="527" t="s">
        <v>696</v>
      </c>
      <c r="R30" s="494"/>
    </row>
    <row r="31" spans="1:19" ht="18" customHeight="1">
      <c r="A31" s="494"/>
      <c r="B31" s="502" t="s">
        <v>697</v>
      </c>
      <c r="C31" s="503" t="s">
        <v>18</v>
      </c>
      <c r="D31" s="522" t="s">
        <v>698</v>
      </c>
      <c r="E31" s="507" t="s">
        <v>72</v>
      </c>
      <c r="F31" s="507" t="s">
        <v>72</v>
      </c>
      <c r="G31" s="507" t="s">
        <v>72</v>
      </c>
      <c r="H31" s="475">
        <v>30</v>
      </c>
      <c r="I31" s="507" t="s">
        <v>72</v>
      </c>
      <c r="J31" s="507" t="s">
        <v>72</v>
      </c>
      <c r="K31" s="507" t="s">
        <v>72</v>
      </c>
      <c r="L31" s="507" t="s">
        <v>72</v>
      </c>
      <c r="M31" s="606"/>
      <c r="N31" s="508"/>
      <c r="O31" s="509">
        <v>30</v>
      </c>
      <c r="P31" s="446">
        <v>1</v>
      </c>
      <c r="Q31" s="526" t="s">
        <v>699</v>
      </c>
      <c r="R31" s="494"/>
    </row>
    <row r="32" spans="1:19" ht="18" customHeight="1">
      <c r="A32" s="494"/>
      <c r="B32" s="511" t="s">
        <v>700</v>
      </c>
      <c r="C32" s="512" t="s">
        <v>18</v>
      </c>
      <c r="D32" s="519" t="s">
        <v>701</v>
      </c>
      <c r="E32" s="516" t="s">
        <v>72</v>
      </c>
      <c r="F32" s="514">
        <v>10</v>
      </c>
      <c r="G32" s="515" t="s">
        <v>72</v>
      </c>
      <c r="H32" s="516" t="s">
        <v>72</v>
      </c>
      <c r="I32" s="515" t="s">
        <v>72</v>
      </c>
      <c r="J32" s="514">
        <v>10</v>
      </c>
      <c r="K32" s="516" t="s">
        <v>72</v>
      </c>
      <c r="L32" s="515" t="s">
        <v>72</v>
      </c>
      <c r="M32" s="606"/>
      <c r="N32" s="508"/>
      <c r="O32" s="509">
        <v>20</v>
      </c>
      <c r="P32" s="446">
        <v>2</v>
      </c>
      <c r="Q32" s="517" t="s">
        <v>682</v>
      </c>
      <c r="R32" s="494"/>
    </row>
    <row r="33" spans="1:18" ht="18" customHeight="1">
      <c r="A33" s="494"/>
      <c r="B33" s="518" t="s">
        <v>420</v>
      </c>
      <c r="C33" s="512" t="s">
        <v>18</v>
      </c>
      <c r="D33" s="513" t="s">
        <v>702</v>
      </c>
      <c r="E33" s="516" t="s">
        <v>72</v>
      </c>
      <c r="F33" s="516" t="s">
        <v>72</v>
      </c>
      <c r="G33" s="516" t="s">
        <v>72</v>
      </c>
      <c r="H33" s="516" t="s">
        <v>72</v>
      </c>
      <c r="I33" s="515" t="s">
        <v>72</v>
      </c>
      <c r="J33" s="515" t="s">
        <v>72</v>
      </c>
      <c r="K33" s="520">
        <v>12</v>
      </c>
      <c r="L33" s="520">
        <v>8</v>
      </c>
      <c r="M33" s="606"/>
      <c r="N33" s="508"/>
      <c r="O33" s="509">
        <v>20</v>
      </c>
      <c r="P33" s="446">
        <v>2</v>
      </c>
      <c r="Q33" s="521" t="s">
        <v>685</v>
      </c>
      <c r="R33" s="494"/>
    </row>
    <row r="34" spans="1:18" ht="18" customHeight="1">
      <c r="A34" s="494"/>
      <c r="B34" s="511" t="s">
        <v>703</v>
      </c>
      <c r="C34" s="512" t="s">
        <v>18</v>
      </c>
      <c r="D34" s="519" t="s">
        <v>704</v>
      </c>
      <c r="E34" s="516" t="s">
        <v>72</v>
      </c>
      <c r="F34" s="516" t="s">
        <v>72</v>
      </c>
      <c r="G34" s="516" t="s">
        <v>72</v>
      </c>
      <c r="H34" s="516" t="s">
        <v>72</v>
      </c>
      <c r="I34" s="515" t="s">
        <v>72</v>
      </c>
      <c r="J34" s="514">
        <v>12</v>
      </c>
      <c r="K34" s="516" t="s">
        <v>72</v>
      </c>
      <c r="L34" s="515" t="s">
        <v>72</v>
      </c>
      <c r="M34" s="606"/>
      <c r="N34" s="508"/>
      <c r="O34" s="509">
        <v>12</v>
      </c>
      <c r="P34" s="446">
        <v>1</v>
      </c>
      <c r="Q34" s="521" t="s">
        <v>682</v>
      </c>
      <c r="R34" s="494"/>
    </row>
    <row r="35" spans="1:18" ht="18" customHeight="1">
      <c r="A35" s="494"/>
      <c r="B35" s="511" t="s">
        <v>705</v>
      </c>
      <c r="C35" s="512" t="s">
        <v>18</v>
      </c>
      <c r="D35" s="519" t="s">
        <v>706</v>
      </c>
      <c r="E35" s="515" t="s">
        <v>72</v>
      </c>
      <c r="F35" s="516" t="s">
        <v>72</v>
      </c>
      <c r="G35" s="515" t="s">
        <v>72</v>
      </c>
      <c r="H35" s="516" t="s">
        <v>72</v>
      </c>
      <c r="I35" s="515" t="s">
        <v>72</v>
      </c>
      <c r="J35" s="514">
        <v>12</v>
      </c>
      <c r="K35" s="516" t="s">
        <v>72</v>
      </c>
      <c r="L35" s="515" t="s">
        <v>72</v>
      </c>
      <c r="M35" s="606"/>
      <c r="N35" s="508"/>
      <c r="O35" s="509">
        <v>12</v>
      </c>
      <c r="P35" s="446">
        <v>1</v>
      </c>
      <c r="Q35" s="521" t="s">
        <v>682</v>
      </c>
      <c r="R35" s="494"/>
    </row>
    <row r="36" spans="1:18" ht="18" customHeight="1">
      <c r="A36" s="494"/>
      <c r="B36" s="511" t="s">
        <v>707</v>
      </c>
      <c r="C36" s="512" t="s">
        <v>18</v>
      </c>
      <c r="D36" s="519" t="s">
        <v>708</v>
      </c>
      <c r="E36" s="515" t="s">
        <v>72</v>
      </c>
      <c r="F36" s="516" t="s">
        <v>72</v>
      </c>
      <c r="G36" s="516" t="s">
        <v>72</v>
      </c>
      <c r="H36" s="516" t="s">
        <v>72</v>
      </c>
      <c r="I36" s="515" t="s">
        <v>72</v>
      </c>
      <c r="J36" s="514">
        <v>12</v>
      </c>
      <c r="K36" s="516" t="s">
        <v>72</v>
      </c>
      <c r="L36" s="515" t="s">
        <v>72</v>
      </c>
      <c r="M36" s="606"/>
      <c r="N36" s="508"/>
      <c r="O36" s="509">
        <v>12</v>
      </c>
      <c r="P36" s="446">
        <v>1</v>
      </c>
      <c r="Q36" s="521" t="s">
        <v>682</v>
      </c>
      <c r="R36" s="494"/>
    </row>
    <row r="37" spans="1:18" ht="18" customHeight="1">
      <c r="A37" s="494"/>
      <c r="B37" s="502" t="s">
        <v>709</v>
      </c>
      <c r="C37" s="503" t="s">
        <v>18</v>
      </c>
      <c r="D37" s="522" t="s">
        <v>710</v>
      </c>
      <c r="E37" s="507" t="s">
        <v>72</v>
      </c>
      <c r="F37" s="506" t="s">
        <v>72</v>
      </c>
      <c r="G37" s="507" t="s">
        <v>72</v>
      </c>
      <c r="H37" s="506" t="s">
        <v>72</v>
      </c>
      <c r="I37" s="507" t="s">
        <v>72</v>
      </c>
      <c r="J37" s="507" t="s">
        <v>72</v>
      </c>
      <c r="K37" s="475">
        <v>12</v>
      </c>
      <c r="L37" s="507" t="s">
        <v>72</v>
      </c>
      <c r="M37" s="606"/>
      <c r="N37" s="508"/>
      <c r="O37" s="509">
        <v>12</v>
      </c>
      <c r="P37" s="446">
        <v>1</v>
      </c>
      <c r="Q37" s="526" t="s">
        <v>682</v>
      </c>
      <c r="R37" s="494"/>
    </row>
    <row r="38" spans="1:18" ht="18" customHeight="1">
      <c r="A38" s="494"/>
      <c r="B38" s="502" t="s">
        <v>711</v>
      </c>
      <c r="C38" s="503" t="s">
        <v>18</v>
      </c>
      <c r="D38" s="522" t="s">
        <v>712</v>
      </c>
      <c r="E38" s="506" t="s">
        <v>72</v>
      </c>
      <c r="F38" s="506" t="s">
        <v>72</v>
      </c>
      <c r="G38" s="507" t="s">
        <v>72</v>
      </c>
      <c r="H38" s="506" t="s">
        <v>72</v>
      </c>
      <c r="I38" s="475">
        <v>10</v>
      </c>
      <c r="J38" s="507" t="s">
        <v>72</v>
      </c>
      <c r="K38" s="506" t="s">
        <v>72</v>
      </c>
      <c r="L38" s="507" t="s">
        <v>72</v>
      </c>
      <c r="M38" s="606">
        <v>12</v>
      </c>
      <c r="N38" s="508"/>
      <c r="O38" s="509">
        <v>10</v>
      </c>
      <c r="P38" s="446">
        <v>1</v>
      </c>
      <c r="Q38" s="526" t="s">
        <v>682</v>
      </c>
      <c r="R38" s="494"/>
    </row>
    <row r="39" spans="1:18" ht="18" customHeight="1">
      <c r="A39" s="494"/>
      <c r="B39" s="502" t="s">
        <v>713</v>
      </c>
      <c r="C39" s="503" t="s">
        <v>18</v>
      </c>
      <c r="D39" s="522" t="s">
        <v>714</v>
      </c>
      <c r="E39" s="506" t="s">
        <v>72</v>
      </c>
      <c r="F39" s="475">
        <v>10</v>
      </c>
      <c r="G39" s="507" t="s">
        <v>72</v>
      </c>
      <c r="H39" s="506" t="s">
        <v>72</v>
      </c>
      <c r="I39" s="507" t="s">
        <v>72</v>
      </c>
      <c r="J39" s="507" t="s">
        <v>72</v>
      </c>
      <c r="K39" s="506" t="s">
        <v>72</v>
      </c>
      <c r="L39" s="507" t="s">
        <v>72</v>
      </c>
      <c r="M39" s="606"/>
      <c r="N39" s="508"/>
      <c r="O39" s="509">
        <v>10</v>
      </c>
      <c r="P39" s="446">
        <v>1</v>
      </c>
      <c r="Q39" s="523" t="s">
        <v>682</v>
      </c>
      <c r="R39" s="494"/>
    </row>
    <row r="40" spans="1:18" ht="18" customHeight="1">
      <c r="A40" s="494"/>
      <c r="B40" s="502" t="s">
        <v>715</v>
      </c>
      <c r="C40" s="503" t="s">
        <v>18</v>
      </c>
      <c r="D40" s="522" t="s">
        <v>716</v>
      </c>
      <c r="E40" s="475">
        <v>4</v>
      </c>
      <c r="F40" s="475">
        <v>4</v>
      </c>
      <c r="G40" s="507" t="s">
        <v>72</v>
      </c>
      <c r="H40" s="506" t="s">
        <v>72</v>
      </c>
      <c r="I40" s="507" t="s">
        <v>72</v>
      </c>
      <c r="J40" s="507" t="s">
        <v>72</v>
      </c>
      <c r="K40" s="506" t="s">
        <v>72</v>
      </c>
      <c r="L40" s="507" t="s">
        <v>72</v>
      </c>
      <c r="M40" s="606"/>
      <c r="N40" s="508"/>
      <c r="O40" s="509">
        <v>8</v>
      </c>
      <c r="P40" s="446">
        <v>2</v>
      </c>
      <c r="Q40" s="523" t="s">
        <v>682</v>
      </c>
      <c r="R40" s="494"/>
    </row>
    <row r="41" spans="1:18" ht="18" customHeight="1">
      <c r="A41" s="494"/>
      <c r="B41" s="511" t="s">
        <v>717</v>
      </c>
      <c r="C41" s="512" t="s">
        <v>18</v>
      </c>
      <c r="D41" s="519" t="s">
        <v>718</v>
      </c>
      <c r="E41" s="515" t="s">
        <v>72</v>
      </c>
      <c r="F41" s="515" t="s">
        <v>72</v>
      </c>
      <c r="G41" s="515" t="s">
        <v>72</v>
      </c>
      <c r="H41" s="514">
        <v>7</v>
      </c>
      <c r="I41" s="515" t="s">
        <v>72</v>
      </c>
      <c r="J41" s="515" t="s">
        <v>72</v>
      </c>
      <c r="K41" s="515" t="s">
        <v>72</v>
      </c>
      <c r="L41" s="515" t="s">
        <v>72</v>
      </c>
      <c r="M41" s="606"/>
      <c r="N41" s="508"/>
      <c r="O41" s="509">
        <v>7</v>
      </c>
      <c r="P41" s="446">
        <v>1</v>
      </c>
      <c r="Q41" s="521" t="s">
        <v>682</v>
      </c>
      <c r="R41" s="494"/>
    </row>
    <row r="42" spans="1:18" ht="18" customHeight="1">
      <c r="A42" s="494"/>
      <c r="B42" s="603" t="s">
        <v>779</v>
      </c>
      <c r="C42" s="512" t="s">
        <v>18</v>
      </c>
      <c r="D42" s="519"/>
      <c r="E42" s="515"/>
      <c r="F42" s="515"/>
      <c r="G42" s="515"/>
      <c r="H42" s="514"/>
      <c r="I42" s="515"/>
      <c r="J42" s="515"/>
      <c r="K42" s="515"/>
      <c r="L42" s="515"/>
      <c r="M42" s="606">
        <v>72</v>
      </c>
      <c r="N42" s="508"/>
      <c r="O42" s="509"/>
      <c r="P42" s="446"/>
      <c r="Q42" s="521"/>
      <c r="R42" s="494"/>
    </row>
    <row r="43" spans="1:18" ht="18" customHeight="1">
      <c r="A43" s="494"/>
      <c r="B43" s="609" t="s">
        <v>783</v>
      </c>
      <c r="C43" s="512" t="s">
        <v>18</v>
      </c>
      <c r="D43" s="519" t="s">
        <v>782</v>
      </c>
      <c r="E43" s="515"/>
      <c r="F43" s="515"/>
      <c r="G43" s="515"/>
      <c r="H43" s="514"/>
      <c r="I43" s="515"/>
      <c r="J43" s="515"/>
      <c r="K43" s="515"/>
      <c r="L43" s="515"/>
      <c r="M43" s="606">
        <v>36</v>
      </c>
      <c r="N43" s="508"/>
      <c r="O43" s="509"/>
      <c r="P43" s="446"/>
      <c r="Q43" s="521"/>
      <c r="R43" s="494"/>
    </row>
    <row r="44" spans="1:18" ht="18" customHeight="1">
      <c r="A44" s="494"/>
      <c r="B44" s="604" t="s">
        <v>719</v>
      </c>
      <c r="C44" s="512" t="s">
        <v>18</v>
      </c>
      <c r="D44" s="522" t="s">
        <v>720</v>
      </c>
      <c r="E44" s="507" t="s">
        <v>72</v>
      </c>
      <c r="F44" s="475">
        <v>6</v>
      </c>
      <c r="G44" s="506" t="s">
        <v>72</v>
      </c>
      <c r="H44" s="506" t="s">
        <v>72</v>
      </c>
      <c r="I44" s="507" t="s">
        <v>72</v>
      </c>
      <c r="J44" s="507" t="s">
        <v>72</v>
      </c>
      <c r="K44" s="506" t="s">
        <v>72</v>
      </c>
      <c r="L44" s="507" t="s">
        <v>72</v>
      </c>
      <c r="M44" s="606">
        <v>36</v>
      </c>
      <c r="N44" s="508"/>
      <c r="O44" s="509">
        <v>6</v>
      </c>
      <c r="P44" s="446">
        <v>1</v>
      </c>
      <c r="Q44" s="523" t="s">
        <v>682</v>
      </c>
      <c r="R44" s="494"/>
    </row>
    <row r="45" spans="1:18" ht="18" customHeight="1">
      <c r="A45" s="494"/>
      <c r="B45" s="605" t="s">
        <v>780</v>
      </c>
      <c r="C45" s="512" t="s">
        <v>18</v>
      </c>
      <c r="D45" s="522" t="s">
        <v>781</v>
      </c>
      <c r="E45" s="507"/>
      <c r="F45" s="475"/>
      <c r="G45" s="506"/>
      <c r="H45" s="506"/>
      <c r="I45" s="507"/>
      <c r="J45" s="507"/>
      <c r="K45" s="506"/>
      <c r="L45" s="507"/>
      <c r="M45" s="606">
        <v>12</v>
      </c>
      <c r="N45" s="508"/>
      <c r="O45" s="509"/>
      <c r="P45" s="446"/>
      <c r="Q45" s="523"/>
      <c r="R45" s="494"/>
    </row>
    <row r="46" spans="1:18" ht="18" customHeight="1">
      <c r="A46" s="494"/>
      <c r="B46" s="511" t="s">
        <v>721</v>
      </c>
      <c r="C46" s="512" t="s">
        <v>18</v>
      </c>
      <c r="D46" s="519" t="s">
        <v>722</v>
      </c>
      <c r="E46" s="515" t="s">
        <v>72</v>
      </c>
      <c r="F46" s="514">
        <v>6</v>
      </c>
      <c r="G46" s="516" t="s">
        <v>72</v>
      </c>
      <c r="H46" s="516" t="s">
        <v>72</v>
      </c>
      <c r="I46" s="515" t="s">
        <v>72</v>
      </c>
      <c r="J46" s="515" t="s">
        <v>72</v>
      </c>
      <c r="K46" s="516" t="s">
        <v>72</v>
      </c>
      <c r="L46" s="515" t="s">
        <v>72</v>
      </c>
      <c r="M46" s="606"/>
      <c r="N46" s="508"/>
      <c r="O46" s="509">
        <v>6</v>
      </c>
      <c r="P46" s="446">
        <v>1</v>
      </c>
      <c r="Q46" s="517" t="s">
        <v>682</v>
      </c>
      <c r="R46" s="494"/>
    </row>
    <row r="47" spans="1:18" ht="18" customHeight="1">
      <c r="A47" s="494"/>
      <c r="B47" s="502" t="s">
        <v>723</v>
      </c>
      <c r="C47" s="503" t="s">
        <v>18</v>
      </c>
      <c r="D47" s="522" t="s">
        <v>724</v>
      </c>
      <c r="E47" s="475">
        <v>4</v>
      </c>
      <c r="F47" s="507" t="s">
        <v>72</v>
      </c>
      <c r="G47" s="506" t="s">
        <v>72</v>
      </c>
      <c r="H47" s="506" t="s">
        <v>72</v>
      </c>
      <c r="I47" s="507" t="s">
        <v>72</v>
      </c>
      <c r="J47" s="507" t="s">
        <v>72</v>
      </c>
      <c r="K47" s="506" t="s">
        <v>72</v>
      </c>
      <c r="L47" s="507" t="s">
        <v>72</v>
      </c>
      <c r="M47" s="606"/>
      <c r="N47" s="508"/>
      <c r="O47" s="509">
        <v>4</v>
      </c>
      <c r="P47" s="446">
        <v>1</v>
      </c>
      <c r="Q47" s="523" t="s">
        <v>682</v>
      </c>
      <c r="R47" s="494"/>
    </row>
    <row r="48" spans="1:18" ht="18" customHeight="1">
      <c r="A48" s="494"/>
      <c r="B48" s="502" t="s">
        <v>421</v>
      </c>
      <c r="C48" s="503" t="s">
        <v>18</v>
      </c>
      <c r="D48" s="522" t="s">
        <v>725</v>
      </c>
      <c r="E48" s="506" t="s">
        <v>72</v>
      </c>
      <c r="F48" s="506" t="s">
        <v>72</v>
      </c>
      <c r="G48" s="506" t="s">
        <v>72</v>
      </c>
      <c r="H48" s="506" t="s">
        <v>72</v>
      </c>
      <c r="I48" s="507" t="s">
        <v>72</v>
      </c>
      <c r="J48" s="507" t="s">
        <v>72</v>
      </c>
      <c r="K48" s="506" t="s">
        <v>72</v>
      </c>
      <c r="L48" s="475">
        <v>4</v>
      </c>
      <c r="M48" s="606">
        <v>12</v>
      </c>
      <c r="N48" s="508"/>
      <c r="O48" s="509">
        <v>4</v>
      </c>
      <c r="P48" s="446">
        <v>1</v>
      </c>
      <c r="Q48" s="526" t="s">
        <v>682</v>
      </c>
      <c r="R48" s="494"/>
    </row>
    <row r="49" spans="1:23" ht="18" hidden="1" customHeight="1">
      <c r="A49" s="494"/>
      <c r="B49" s="528" t="s">
        <v>726</v>
      </c>
      <c r="C49" s="529" t="s">
        <v>727</v>
      </c>
      <c r="D49" s="530" t="s">
        <v>72</v>
      </c>
      <c r="E49" s="531" t="s">
        <v>72</v>
      </c>
      <c r="F49" s="531" t="s">
        <v>72</v>
      </c>
      <c r="G49" s="531" t="s">
        <v>72</v>
      </c>
      <c r="H49" s="531" t="s">
        <v>72</v>
      </c>
      <c r="I49" s="531" t="s">
        <v>72</v>
      </c>
      <c r="J49" s="532">
        <v>30</v>
      </c>
      <c r="K49" s="531" t="s">
        <v>72</v>
      </c>
      <c r="L49" s="531" t="s">
        <v>72</v>
      </c>
      <c r="M49" s="607"/>
      <c r="N49" s="508"/>
      <c r="O49" s="509">
        <v>30</v>
      </c>
      <c r="P49" s="446">
        <v>1</v>
      </c>
      <c r="Q49" s="533"/>
      <c r="R49" s="494"/>
    </row>
    <row r="50" spans="1:23" ht="18" hidden="1" customHeight="1">
      <c r="A50" s="494"/>
      <c r="B50" s="534" t="s">
        <v>728</v>
      </c>
      <c r="C50" s="535" t="s">
        <v>729</v>
      </c>
      <c r="D50" s="536" t="s">
        <v>72</v>
      </c>
      <c r="E50" s="537" t="s">
        <v>72</v>
      </c>
      <c r="F50" s="537" t="s">
        <v>72</v>
      </c>
      <c r="G50" s="537" t="s">
        <v>72</v>
      </c>
      <c r="H50" s="537" t="s">
        <v>72</v>
      </c>
      <c r="I50" s="538" t="s">
        <v>72</v>
      </c>
      <c r="J50" s="538" t="s">
        <v>72</v>
      </c>
      <c r="K50" s="539">
        <v>20</v>
      </c>
      <c r="L50" s="538" t="s">
        <v>72</v>
      </c>
      <c r="M50" s="607"/>
      <c r="N50" s="508"/>
      <c r="O50" s="509">
        <v>20</v>
      </c>
      <c r="P50" s="446">
        <v>1</v>
      </c>
      <c r="Q50" s="540" t="s">
        <v>730</v>
      </c>
      <c r="R50" s="494"/>
    </row>
    <row r="51" spans="1:23" ht="18" hidden="1" customHeight="1">
      <c r="A51" s="494"/>
      <c r="B51" s="541" t="s">
        <v>422</v>
      </c>
      <c r="C51" s="529" t="s">
        <v>727</v>
      </c>
      <c r="D51" s="530" t="s">
        <v>72</v>
      </c>
      <c r="E51" s="531" t="s">
        <v>72</v>
      </c>
      <c r="F51" s="531" t="s">
        <v>72</v>
      </c>
      <c r="G51" s="531" t="s">
        <v>72</v>
      </c>
      <c r="H51" s="531" t="s">
        <v>72</v>
      </c>
      <c r="I51" s="531" t="s">
        <v>72</v>
      </c>
      <c r="J51" s="531" t="s">
        <v>72</v>
      </c>
      <c r="K51" s="542">
        <v>8</v>
      </c>
      <c r="L51" s="542">
        <v>10</v>
      </c>
      <c r="M51" s="607"/>
      <c r="N51" s="508"/>
      <c r="O51" s="509">
        <v>18</v>
      </c>
      <c r="P51" s="446">
        <v>2</v>
      </c>
      <c r="Q51" s="543" t="s">
        <v>731</v>
      </c>
      <c r="R51" s="494"/>
    </row>
    <row r="52" spans="1:23" ht="18" hidden="1" customHeight="1">
      <c r="A52" s="494"/>
      <c r="B52" s="544" t="s">
        <v>732</v>
      </c>
      <c r="C52" s="545" t="s">
        <v>727</v>
      </c>
      <c r="D52" s="546" t="s">
        <v>72</v>
      </c>
      <c r="E52" s="547" t="s">
        <v>72</v>
      </c>
      <c r="F52" s="547" t="s">
        <v>72</v>
      </c>
      <c r="G52" s="547" t="s">
        <v>72</v>
      </c>
      <c r="H52" s="547" t="s">
        <v>72</v>
      </c>
      <c r="I52" s="547" t="s">
        <v>72</v>
      </c>
      <c r="J52" s="548">
        <v>10</v>
      </c>
      <c r="K52" s="547" t="s">
        <v>72</v>
      </c>
      <c r="L52" s="547" t="s">
        <v>72</v>
      </c>
      <c r="M52" s="607"/>
      <c r="N52" s="508"/>
      <c r="O52" s="509">
        <v>10</v>
      </c>
      <c r="P52" s="446">
        <v>1</v>
      </c>
      <c r="Q52" s="549"/>
      <c r="R52" s="494"/>
    </row>
    <row r="53" spans="1:23" ht="19.5" customHeight="1">
      <c r="A53" s="494"/>
      <c r="B53" s="550" t="s">
        <v>733</v>
      </c>
      <c r="C53" s="551"/>
      <c r="D53" s="551"/>
      <c r="E53" s="480">
        <v>280</v>
      </c>
      <c r="F53" s="480">
        <v>108</v>
      </c>
      <c r="G53" s="480">
        <v>120</v>
      </c>
      <c r="H53" s="480">
        <v>67</v>
      </c>
      <c r="I53" s="480">
        <v>10</v>
      </c>
      <c r="J53" s="480">
        <v>110</v>
      </c>
      <c r="K53" s="480">
        <v>88</v>
      </c>
      <c r="L53" s="480">
        <v>64</v>
      </c>
      <c r="M53" s="608">
        <f>SUM(M23:M48)</f>
        <v>366</v>
      </c>
      <c r="N53" s="551"/>
      <c r="O53" s="480">
        <v>847</v>
      </c>
      <c r="P53" s="551"/>
      <c r="Q53" s="551"/>
      <c r="R53" s="494"/>
    </row>
    <row r="54" spans="1:23" ht="15.75" customHeight="1">
      <c r="A54" s="494"/>
      <c r="B54" s="615" t="s">
        <v>734</v>
      </c>
      <c r="C54" s="615"/>
      <c r="D54" s="615"/>
      <c r="E54" s="615"/>
      <c r="F54" s="615"/>
      <c r="G54" s="615"/>
      <c r="H54" s="615"/>
      <c r="I54" s="615"/>
      <c r="J54" s="615"/>
      <c r="K54" s="615"/>
      <c r="L54" s="615"/>
      <c r="M54" s="615"/>
      <c r="N54" s="615"/>
      <c r="O54" s="615"/>
      <c r="P54" s="615"/>
      <c r="Q54" s="615"/>
    </row>
    <row r="55" spans="1:23" ht="18" customHeight="1">
      <c r="A55" s="494"/>
      <c r="B55" s="494"/>
      <c r="C55" s="494"/>
      <c r="D55" s="494"/>
      <c r="E55" s="494"/>
      <c r="F55" s="494"/>
      <c r="G55" s="552"/>
      <c r="H55" s="494"/>
      <c r="I55" s="494"/>
      <c r="J55" s="494"/>
      <c r="K55" s="552"/>
      <c r="L55" s="494"/>
      <c r="M55" s="494"/>
      <c r="N55" s="494"/>
      <c r="O55" s="494"/>
      <c r="P55" s="494"/>
      <c r="Q55" s="494"/>
      <c r="R55" s="494"/>
    </row>
    <row r="56" spans="1:23" ht="18" customHeight="1">
      <c r="A56" s="494"/>
      <c r="B56" s="494"/>
      <c r="C56" s="494"/>
      <c r="D56" s="494"/>
      <c r="E56" s="494"/>
      <c r="F56" s="494"/>
      <c r="G56" s="494"/>
      <c r="H56" s="552"/>
      <c r="I56" s="494"/>
      <c r="J56" s="494"/>
      <c r="K56" s="552"/>
      <c r="L56" s="494"/>
      <c r="M56" s="494"/>
      <c r="N56" s="494"/>
      <c r="O56" s="494"/>
      <c r="P56" s="494"/>
      <c r="Q56" s="494"/>
      <c r="R56" s="494"/>
    </row>
    <row r="57" spans="1:23" ht="19.5" customHeight="1">
      <c r="A57" s="494"/>
      <c r="B57" s="494"/>
      <c r="C57" s="494"/>
      <c r="D57" s="494"/>
      <c r="E57" s="552"/>
      <c r="F57" s="552"/>
      <c r="G57" s="552"/>
      <c r="H57" s="552"/>
      <c r="I57" s="494"/>
      <c r="J57" s="494"/>
      <c r="K57" s="552"/>
      <c r="L57" s="494"/>
      <c r="M57" s="494"/>
      <c r="N57" s="494"/>
      <c r="O57" s="494"/>
      <c r="P57" s="494"/>
      <c r="Q57" s="494"/>
      <c r="R57" s="494"/>
    </row>
    <row r="58" spans="1:23" ht="15" customHeight="1">
      <c r="A58" s="494"/>
      <c r="B58" s="494"/>
      <c r="C58" s="494"/>
      <c r="D58" s="494"/>
      <c r="E58" s="494"/>
      <c r="F58" s="494"/>
      <c r="G58" s="494"/>
      <c r="H58" s="494"/>
      <c r="I58" s="494"/>
      <c r="J58" s="494"/>
      <c r="K58" s="494"/>
      <c r="L58" s="494"/>
      <c r="M58" s="494"/>
      <c r="N58" s="494"/>
      <c r="O58" s="494"/>
      <c r="P58" s="494"/>
      <c r="Q58" s="494"/>
      <c r="R58" s="494"/>
    </row>
    <row r="59" spans="1:23" ht="21.75" customHeight="1">
      <c r="A59" s="494"/>
      <c r="B59" s="616" t="s">
        <v>735</v>
      </c>
      <c r="C59" s="616"/>
      <c r="D59" s="616"/>
      <c r="E59" s="616"/>
      <c r="F59" s="616"/>
      <c r="G59" s="616"/>
      <c r="H59" s="616"/>
      <c r="I59" s="616"/>
      <c r="J59" s="616"/>
      <c r="K59" s="616"/>
      <c r="L59" s="616"/>
      <c r="M59" s="616"/>
      <c r="N59" s="616"/>
      <c r="O59" s="616"/>
      <c r="P59" s="616"/>
      <c r="Q59" s="616"/>
      <c r="R59" s="616"/>
      <c r="S59" s="616"/>
      <c r="T59" s="616"/>
      <c r="U59" s="616"/>
      <c r="V59" s="616"/>
      <c r="W59" s="494"/>
    </row>
    <row r="60" spans="1:23" ht="13.5" customHeight="1">
      <c r="A60" s="494"/>
      <c r="B60" s="614" t="s">
        <v>736</v>
      </c>
      <c r="C60" s="614"/>
      <c r="D60" s="614"/>
      <c r="E60" s="614"/>
      <c r="F60" s="614"/>
      <c r="G60" s="614"/>
      <c r="H60" s="614"/>
      <c r="I60" s="614"/>
      <c r="J60" s="614"/>
      <c r="K60" s="614"/>
      <c r="L60" s="614"/>
      <c r="M60" s="614"/>
      <c r="N60" s="614"/>
      <c r="O60" s="614"/>
      <c r="P60" s="614"/>
      <c r="Q60" s="614"/>
      <c r="R60" s="614"/>
      <c r="S60" s="614"/>
      <c r="T60" s="614"/>
      <c r="U60" s="614"/>
      <c r="V60" s="614"/>
      <c r="W60" s="494"/>
    </row>
    <row r="61" spans="1:23" ht="36" customHeight="1">
      <c r="A61" s="494"/>
      <c r="B61" s="553" t="s">
        <v>417</v>
      </c>
      <c r="C61" s="554" t="s">
        <v>662</v>
      </c>
      <c r="D61" s="555" t="s">
        <v>663</v>
      </c>
      <c r="E61" s="556" t="s">
        <v>737</v>
      </c>
      <c r="F61" s="556" t="s">
        <v>738</v>
      </c>
      <c r="G61" s="556" t="s">
        <v>739</v>
      </c>
      <c r="H61" s="556" t="s">
        <v>740</v>
      </c>
      <c r="I61" s="556" t="s">
        <v>741</v>
      </c>
      <c r="J61" s="556" t="s">
        <v>664</v>
      </c>
      <c r="K61" s="556" t="s">
        <v>665</v>
      </c>
      <c r="L61" s="556" t="s">
        <v>666</v>
      </c>
      <c r="M61" s="557" t="s">
        <v>667</v>
      </c>
      <c r="N61" s="557" t="s">
        <v>668</v>
      </c>
      <c r="O61" s="557" t="s">
        <v>669</v>
      </c>
      <c r="P61" s="557" t="s">
        <v>670</v>
      </c>
      <c r="Q61" s="557" t="s">
        <v>671</v>
      </c>
      <c r="R61" s="558" t="s">
        <v>672</v>
      </c>
      <c r="S61" s="558" t="s">
        <v>673</v>
      </c>
      <c r="T61" s="559" t="s">
        <v>742</v>
      </c>
      <c r="U61" s="559" t="s">
        <v>675</v>
      </c>
      <c r="V61" s="553" t="s">
        <v>676</v>
      </c>
      <c r="W61" s="494"/>
    </row>
    <row r="62" spans="1:23" ht="18" customHeight="1">
      <c r="A62" s="494"/>
      <c r="B62" s="560" t="s">
        <v>743</v>
      </c>
      <c r="C62" s="561" t="s">
        <v>744</v>
      </c>
      <c r="D62" s="562" t="s">
        <v>72</v>
      </c>
      <c r="E62" s="563" t="s">
        <v>72</v>
      </c>
      <c r="F62" s="563" t="s">
        <v>72</v>
      </c>
      <c r="G62" s="564" t="s">
        <v>72</v>
      </c>
      <c r="H62" s="563" t="s">
        <v>72</v>
      </c>
      <c r="I62" s="563" t="s">
        <v>72</v>
      </c>
      <c r="J62" s="563" t="s">
        <v>72</v>
      </c>
      <c r="K62" s="564" t="s">
        <v>72</v>
      </c>
      <c r="L62" s="563" t="s">
        <v>72</v>
      </c>
      <c r="M62" s="565" t="s">
        <v>72</v>
      </c>
      <c r="N62" s="565" t="s">
        <v>72</v>
      </c>
      <c r="O62" s="565" t="s">
        <v>72</v>
      </c>
      <c r="P62" s="566">
        <v>50</v>
      </c>
      <c r="Q62" s="565" t="s">
        <v>72</v>
      </c>
      <c r="R62" s="567"/>
      <c r="S62" s="567"/>
      <c r="T62" s="509">
        <v>50</v>
      </c>
      <c r="U62" s="446">
        <v>1</v>
      </c>
      <c r="V62" s="568" t="s">
        <v>745</v>
      </c>
      <c r="W62" s="494"/>
    </row>
    <row r="63" spans="1:23" ht="18" customHeight="1">
      <c r="A63" s="494"/>
      <c r="B63" s="569" t="s">
        <v>746</v>
      </c>
      <c r="C63" s="570" t="s">
        <v>744</v>
      </c>
      <c r="D63" s="571" t="s">
        <v>72</v>
      </c>
      <c r="E63" s="563" t="s">
        <v>72</v>
      </c>
      <c r="F63" s="564" t="s">
        <v>72</v>
      </c>
      <c r="G63" s="563" t="s">
        <v>72</v>
      </c>
      <c r="H63" s="563" t="s">
        <v>72</v>
      </c>
      <c r="I63" s="563" t="s">
        <v>72</v>
      </c>
      <c r="J63" s="563" t="s">
        <v>72</v>
      </c>
      <c r="K63" s="564" t="s">
        <v>72</v>
      </c>
      <c r="L63" s="563" t="s">
        <v>72</v>
      </c>
      <c r="M63" s="572" t="s">
        <v>72</v>
      </c>
      <c r="N63" s="572" t="s">
        <v>72</v>
      </c>
      <c r="O63" s="573">
        <v>30</v>
      </c>
      <c r="P63" s="572" t="s">
        <v>72</v>
      </c>
      <c r="Q63" s="572" t="s">
        <v>72</v>
      </c>
      <c r="R63" s="567"/>
      <c r="S63" s="567"/>
      <c r="T63" s="509">
        <v>30</v>
      </c>
      <c r="U63" s="446">
        <v>1</v>
      </c>
      <c r="V63" s="574"/>
      <c r="W63" s="494"/>
    </row>
    <row r="64" spans="1:23" ht="18" customHeight="1">
      <c r="A64" s="494"/>
      <c r="B64" s="575" t="s">
        <v>747</v>
      </c>
      <c r="C64" s="561" t="s">
        <v>744</v>
      </c>
      <c r="D64" s="562" t="s">
        <v>72</v>
      </c>
      <c r="E64" s="563" t="s">
        <v>72</v>
      </c>
      <c r="F64" s="563" t="s">
        <v>72</v>
      </c>
      <c r="G64" s="563" t="s">
        <v>72</v>
      </c>
      <c r="H64" s="564" t="s">
        <v>72</v>
      </c>
      <c r="I64" s="563" t="s">
        <v>72</v>
      </c>
      <c r="J64" s="563" t="s">
        <v>72</v>
      </c>
      <c r="K64" s="564" t="s">
        <v>72</v>
      </c>
      <c r="L64" s="563" t="s">
        <v>72</v>
      </c>
      <c r="M64" s="565" t="s">
        <v>72</v>
      </c>
      <c r="N64" s="565" t="s">
        <v>72</v>
      </c>
      <c r="O64" s="565" t="s">
        <v>72</v>
      </c>
      <c r="P64" s="565" t="s">
        <v>72</v>
      </c>
      <c r="Q64" s="566">
        <v>30</v>
      </c>
      <c r="R64" s="567"/>
      <c r="S64" s="567"/>
      <c r="T64" s="509">
        <v>30</v>
      </c>
      <c r="U64" s="446">
        <v>1</v>
      </c>
      <c r="V64" s="576"/>
      <c r="W64" s="494"/>
    </row>
    <row r="65" spans="1:23" ht="18" customHeight="1">
      <c r="A65" s="494"/>
      <c r="B65" s="569" t="s">
        <v>748</v>
      </c>
      <c r="C65" s="570" t="s">
        <v>744</v>
      </c>
      <c r="D65" s="571" t="s">
        <v>72</v>
      </c>
      <c r="E65" s="563" t="s">
        <v>72</v>
      </c>
      <c r="F65" s="563" t="s">
        <v>72</v>
      </c>
      <c r="G65" s="564" t="s">
        <v>72</v>
      </c>
      <c r="H65" s="563" t="s">
        <v>72</v>
      </c>
      <c r="I65" s="563" t="s">
        <v>72</v>
      </c>
      <c r="J65" s="563" t="s">
        <v>72</v>
      </c>
      <c r="K65" s="564" t="s">
        <v>72</v>
      </c>
      <c r="L65" s="563" t="s">
        <v>72</v>
      </c>
      <c r="M65" s="572" t="s">
        <v>72</v>
      </c>
      <c r="N65" s="572" t="s">
        <v>72</v>
      </c>
      <c r="O65" s="572" t="s">
        <v>72</v>
      </c>
      <c r="P65" s="573">
        <v>20</v>
      </c>
      <c r="Q65" s="572" t="s">
        <v>72</v>
      </c>
      <c r="R65" s="567"/>
      <c r="S65" s="567"/>
      <c r="T65" s="509">
        <v>20</v>
      </c>
      <c r="U65" s="446">
        <v>1</v>
      </c>
      <c r="V65" s="574"/>
      <c r="W65" s="494"/>
    </row>
    <row r="66" spans="1:23" ht="18" customHeight="1">
      <c r="A66" s="494"/>
      <c r="B66" s="575" t="s">
        <v>436</v>
      </c>
      <c r="C66" s="561" t="s">
        <v>744</v>
      </c>
      <c r="D66" s="562" t="s">
        <v>72</v>
      </c>
      <c r="E66" s="563" t="s">
        <v>72</v>
      </c>
      <c r="F66" s="563" t="s">
        <v>72</v>
      </c>
      <c r="G66" s="563" t="s">
        <v>72</v>
      </c>
      <c r="H66" s="564" t="s">
        <v>72</v>
      </c>
      <c r="I66" s="563" t="s">
        <v>72</v>
      </c>
      <c r="J66" s="563" t="s">
        <v>72</v>
      </c>
      <c r="K66" s="564" t="s">
        <v>72</v>
      </c>
      <c r="L66" s="563" t="s">
        <v>72</v>
      </c>
      <c r="M66" s="565" t="s">
        <v>72</v>
      </c>
      <c r="N66" s="565" t="s">
        <v>72</v>
      </c>
      <c r="O66" s="565" t="s">
        <v>72</v>
      </c>
      <c r="P66" s="565" t="s">
        <v>72</v>
      </c>
      <c r="Q66" s="566">
        <v>20</v>
      </c>
      <c r="R66" s="567"/>
      <c r="S66" s="567"/>
      <c r="T66" s="509">
        <v>20</v>
      </c>
      <c r="U66" s="446">
        <v>1</v>
      </c>
      <c r="V66" s="576"/>
      <c r="W66" s="494"/>
    </row>
    <row r="67" spans="1:23" ht="18" customHeight="1">
      <c r="A67" s="494"/>
      <c r="B67" s="569" t="s">
        <v>749</v>
      </c>
      <c r="C67" s="570" t="s">
        <v>744</v>
      </c>
      <c r="D67" s="571" t="s">
        <v>72</v>
      </c>
      <c r="E67" s="563" t="s">
        <v>72</v>
      </c>
      <c r="F67" s="563" t="s">
        <v>72</v>
      </c>
      <c r="G67" s="563" t="s">
        <v>72</v>
      </c>
      <c r="H67" s="563" t="s">
        <v>72</v>
      </c>
      <c r="I67" s="563" t="s">
        <v>72</v>
      </c>
      <c r="J67" s="563" t="s">
        <v>72</v>
      </c>
      <c r="K67" s="564" t="s">
        <v>72</v>
      </c>
      <c r="L67" s="563" t="s">
        <v>72</v>
      </c>
      <c r="M67" s="573">
        <v>12</v>
      </c>
      <c r="N67" s="572" t="s">
        <v>72</v>
      </c>
      <c r="O67" s="572" t="s">
        <v>72</v>
      </c>
      <c r="P67" s="572" t="s">
        <v>72</v>
      </c>
      <c r="Q67" s="572" t="s">
        <v>72</v>
      </c>
      <c r="R67" s="567"/>
      <c r="S67" s="567"/>
      <c r="T67" s="509">
        <v>12</v>
      </c>
      <c r="U67" s="446">
        <v>1</v>
      </c>
      <c r="V67" s="574"/>
      <c r="W67" s="494"/>
    </row>
    <row r="68" spans="1:23" ht="18" customHeight="1">
      <c r="A68" s="494"/>
      <c r="B68" s="575" t="s">
        <v>750</v>
      </c>
      <c r="C68" s="561" t="s">
        <v>744</v>
      </c>
      <c r="D68" s="562" t="s">
        <v>72</v>
      </c>
      <c r="E68" s="563" t="s">
        <v>72</v>
      </c>
      <c r="F68" s="563" t="s">
        <v>72</v>
      </c>
      <c r="G68" s="563" t="s">
        <v>72</v>
      </c>
      <c r="H68" s="563" t="s">
        <v>72</v>
      </c>
      <c r="I68" s="563" t="s">
        <v>72</v>
      </c>
      <c r="J68" s="563" t="s">
        <v>72</v>
      </c>
      <c r="K68" s="564" t="s">
        <v>72</v>
      </c>
      <c r="L68" s="563" t="s">
        <v>72</v>
      </c>
      <c r="M68" s="566">
        <v>12</v>
      </c>
      <c r="N68" s="565" t="s">
        <v>72</v>
      </c>
      <c r="O68" s="565" t="s">
        <v>72</v>
      </c>
      <c r="P68" s="565" t="s">
        <v>72</v>
      </c>
      <c r="Q68" s="565" t="s">
        <v>72</v>
      </c>
      <c r="R68" s="567"/>
      <c r="S68" s="567"/>
      <c r="T68" s="509">
        <v>12</v>
      </c>
      <c r="U68" s="446">
        <v>1</v>
      </c>
      <c r="V68" s="576"/>
      <c r="W68" s="494"/>
    </row>
    <row r="69" spans="1:23" ht="18" customHeight="1">
      <c r="A69" s="494"/>
      <c r="B69" s="569" t="s">
        <v>751</v>
      </c>
      <c r="C69" s="570" t="s">
        <v>744</v>
      </c>
      <c r="D69" s="571" t="s">
        <v>72</v>
      </c>
      <c r="E69" s="563" t="s">
        <v>72</v>
      </c>
      <c r="F69" s="564" t="s">
        <v>72</v>
      </c>
      <c r="G69" s="563" t="s">
        <v>72</v>
      </c>
      <c r="H69" s="563" t="s">
        <v>72</v>
      </c>
      <c r="I69" s="563" t="s">
        <v>72</v>
      </c>
      <c r="J69" s="563" t="s">
        <v>72</v>
      </c>
      <c r="K69" s="564" t="s">
        <v>72</v>
      </c>
      <c r="L69" s="563" t="s">
        <v>72</v>
      </c>
      <c r="M69" s="572" t="s">
        <v>72</v>
      </c>
      <c r="N69" s="572" t="s">
        <v>72</v>
      </c>
      <c r="O69" s="573">
        <v>12</v>
      </c>
      <c r="P69" s="572" t="s">
        <v>72</v>
      </c>
      <c r="Q69" s="572" t="s">
        <v>72</v>
      </c>
      <c r="R69" s="567"/>
      <c r="S69" s="567"/>
      <c r="T69" s="509">
        <v>12</v>
      </c>
      <c r="U69" s="446">
        <v>1</v>
      </c>
      <c r="V69" s="574"/>
      <c r="W69" s="494"/>
    </row>
    <row r="70" spans="1:23" ht="18" customHeight="1">
      <c r="A70" s="494"/>
      <c r="B70" s="560" t="s">
        <v>752</v>
      </c>
      <c r="C70" s="561" t="s">
        <v>744</v>
      </c>
      <c r="D70" s="562" t="s">
        <v>72</v>
      </c>
      <c r="E70" s="563" t="s">
        <v>72</v>
      </c>
      <c r="F70" s="563" t="s">
        <v>72</v>
      </c>
      <c r="G70" s="564" t="s">
        <v>72</v>
      </c>
      <c r="H70" s="563" t="s">
        <v>72</v>
      </c>
      <c r="I70" s="563" t="s">
        <v>72</v>
      </c>
      <c r="J70" s="563" t="s">
        <v>72</v>
      </c>
      <c r="K70" s="564" t="s">
        <v>72</v>
      </c>
      <c r="L70" s="563" t="s">
        <v>72</v>
      </c>
      <c r="M70" s="565" t="s">
        <v>72</v>
      </c>
      <c r="N70" s="565" t="s">
        <v>72</v>
      </c>
      <c r="O70" s="565" t="s">
        <v>72</v>
      </c>
      <c r="P70" s="566">
        <v>12</v>
      </c>
      <c r="Q70" s="565" t="s">
        <v>72</v>
      </c>
      <c r="R70" s="567"/>
      <c r="S70" s="567"/>
      <c r="T70" s="509">
        <v>12</v>
      </c>
      <c r="U70" s="446">
        <v>1</v>
      </c>
      <c r="V70" s="576"/>
      <c r="W70" s="494"/>
    </row>
    <row r="71" spans="1:23" ht="18" customHeight="1">
      <c r="A71" s="494"/>
      <c r="B71" s="577" t="s">
        <v>753</v>
      </c>
      <c r="C71" s="570" t="s">
        <v>744</v>
      </c>
      <c r="D71" s="571" t="s">
        <v>72</v>
      </c>
      <c r="E71" s="563" t="s">
        <v>72</v>
      </c>
      <c r="F71" s="563" t="s">
        <v>72</v>
      </c>
      <c r="G71" s="563" t="s">
        <v>72</v>
      </c>
      <c r="H71" s="564" t="s">
        <v>72</v>
      </c>
      <c r="I71" s="563" t="s">
        <v>72</v>
      </c>
      <c r="J71" s="563" t="s">
        <v>72</v>
      </c>
      <c r="K71" s="564" t="s">
        <v>72</v>
      </c>
      <c r="L71" s="563" t="s">
        <v>72</v>
      </c>
      <c r="M71" s="572" t="s">
        <v>72</v>
      </c>
      <c r="N71" s="572" t="s">
        <v>72</v>
      </c>
      <c r="O71" s="572" t="s">
        <v>72</v>
      </c>
      <c r="P71" s="572" t="s">
        <v>72</v>
      </c>
      <c r="Q71" s="573">
        <v>12</v>
      </c>
      <c r="R71" s="567"/>
      <c r="S71" s="567"/>
      <c r="T71" s="509">
        <v>12</v>
      </c>
      <c r="U71" s="446">
        <v>1</v>
      </c>
      <c r="V71" s="578" t="s">
        <v>731</v>
      </c>
      <c r="W71" s="494"/>
    </row>
    <row r="72" spans="1:23" ht="18" customHeight="1">
      <c r="A72" s="494"/>
      <c r="B72" s="560" t="s">
        <v>754</v>
      </c>
      <c r="C72" s="561" t="s">
        <v>744</v>
      </c>
      <c r="D72" s="562" t="s">
        <v>72</v>
      </c>
      <c r="E72" s="564" t="s">
        <v>72</v>
      </c>
      <c r="F72" s="563" t="s">
        <v>72</v>
      </c>
      <c r="G72" s="563" t="s">
        <v>72</v>
      </c>
      <c r="H72" s="563" t="s">
        <v>72</v>
      </c>
      <c r="I72" s="563" t="s">
        <v>72</v>
      </c>
      <c r="J72" s="563" t="s">
        <v>72</v>
      </c>
      <c r="K72" s="564" t="s">
        <v>72</v>
      </c>
      <c r="L72" s="563" t="s">
        <v>72</v>
      </c>
      <c r="M72" s="565" t="s">
        <v>72</v>
      </c>
      <c r="N72" s="566">
        <v>10</v>
      </c>
      <c r="O72" s="565" t="s">
        <v>72</v>
      </c>
      <c r="P72" s="565" t="s">
        <v>72</v>
      </c>
      <c r="Q72" s="565" t="s">
        <v>72</v>
      </c>
      <c r="R72" s="567"/>
      <c r="S72" s="567"/>
      <c r="T72" s="509">
        <v>10</v>
      </c>
      <c r="U72" s="446">
        <v>1</v>
      </c>
      <c r="V72" s="576"/>
      <c r="W72" s="494"/>
    </row>
    <row r="73" spans="1:23" ht="18" customHeight="1">
      <c r="A73" s="494"/>
      <c r="B73" s="569" t="s">
        <v>755</v>
      </c>
      <c r="C73" s="570" t="s">
        <v>744</v>
      </c>
      <c r="D73" s="571" t="s">
        <v>72</v>
      </c>
      <c r="E73" s="564" t="s">
        <v>72</v>
      </c>
      <c r="F73" s="563" t="s">
        <v>72</v>
      </c>
      <c r="G73" s="563" t="s">
        <v>72</v>
      </c>
      <c r="H73" s="563" t="s">
        <v>72</v>
      </c>
      <c r="I73" s="563" t="s">
        <v>72</v>
      </c>
      <c r="J73" s="563" t="s">
        <v>72</v>
      </c>
      <c r="K73" s="564" t="s">
        <v>72</v>
      </c>
      <c r="L73" s="563" t="s">
        <v>72</v>
      </c>
      <c r="M73" s="572" t="s">
        <v>72</v>
      </c>
      <c r="N73" s="573">
        <v>10</v>
      </c>
      <c r="O73" s="572" t="s">
        <v>72</v>
      </c>
      <c r="P73" s="572" t="s">
        <v>72</v>
      </c>
      <c r="Q73" s="572" t="s">
        <v>72</v>
      </c>
      <c r="R73" s="567"/>
      <c r="S73" s="567"/>
      <c r="T73" s="509">
        <v>10</v>
      </c>
      <c r="U73" s="446">
        <v>1</v>
      </c>
      <c r="V73" s="574"/>
      <c r="W73" s="494"/>
    </row>
    <row r="74" spans="1:23" ht="18" customHeight="1">
      <c r="A74" s="494"/>
      <c r="B74" s="575" t="s">
        <v>756</v>
      </c>
      <c r="C74" s="561" t="s">
        <v>744</v>
      </c>
      <c r="D74" s="562" t="s">
        <v>72</v>
      </c>
      <c r="E74" s="564" t="s">
        <v>72</v>
      </c>
      <c r="F74" s="563" t="s">
        <v>72</v>
      </c>
      <c r="G74" s="563" t="s">
        <v>72</v>
      </c>
      <c r="H74" s="563" t="s">
        <v>72</v>
      </c>
      <c r="I74" s="563" t="s">
        <v>72</v>
      </c>
      <c r="J74" s="563" t="s">
        <v>72</v>
      </c>
      <c r="K74" s="564" t="s">
        <v>72</v>
      </c>
      <c r="L74" s="563" t="s">
        <v>72</v>
      </c>
      <c r="M74" s="565" t="s">
        <v>72</v>
      </c>
      <c r="N74" s="566">
        <v>10</v>
      </c>
      <c r="O74" s="565" t="s">
        <v>72</v>
      </c>
      <c r="P74" s="565" t="s">
        <v>72</v>
      </c>
      <c r="Q74" s="565" t="s">
        <v>72</v>
      </c>
      <c r="R74" s="567"/>
      <c r="S74" s="567"/>
      <c r="T74" s="509">
        <v>10</v>
      </c>
      <c r="U74" s="446">
        <v>1</v>
      </c>
      <c r="V74" s="576"/>
      <c r="W74" s="494"/>
    </row>
    <row r="75" spans="1:23" ht="18" customHeight="1">
      <c r="A75" s="494"/>
      <c r="B75" s="579" t="s">
        <v>757</v>
      </c>
      <c r="C75" s="570" t="s">
        <v>744</v>
      </c>
      <c r="D75" s="571" t="s">
        <v>72</v>
      </c>
      <c r="E75" s="563" t="s">
        <v>72</v>
      </c>
      <c r="F75" s="563" t="s">
        <v>72</v>
      </c>
      <c r="G75" s="564" t="s">
        <v>72</v>
      </c>
      <c r="H75" s="563" t="s">
        <v>72</v>
      </c>
      <c r="I75" s="563" t="s">
        <v>72</v>
      </c>
      <c r="J75" s="563" t="s">
        <v>72</v>
      </c>
      <c r="K75" s="564" t="s">
        <v>72</v>
      </c>
      <c r="L75" s="563" t="s">
        <v>72</v>
      </c>
      <c r="M75" s="572" t="s">
        <v>72</v>
      </c>
      <c r="N75" s="572" t="s">
        <v>72</v>
      </c>
      <c r="O75" s="572" t="s">
        <v>72</v>
      </c>
      <c r="P75" s="573">
        <v>10</v>
      </c>
      <c r="Q75" s="572" t="s">
        <v>72</v>
      </c>
      <c r="R75" s="567"/>
      <c r="S75" s="567"/>
      <c r="T75" s="509">
        <v>10</v>
      </c>
      <c r="U75" s="446">
        <v>1</v>
      </c>
      <c r="V75" s="574"/>
      <c r="W75" s="494"/>
    </row>
    <row r="76" spans="1:23" ht="18" customHeight="1">
      <c r="A76" s="494"/>
      <c r="B76" s="560" t="s">
        <v>437</v>
      </c>
      <c r="C76" s="561" t="s">
        <v>744</v>
      </c>
      <c r="D76" s="562" t="s">
        <v>72</v>
      </c>
      <c r="E76" s="563" t="s">
        <v>72</v>
      </c>
      <c r="F76" s="563" t="s">
        <v>72</v>
      </c>
      <c r="G76" s="563" t="s">
        <v>72</v>
      </c>
      <c r="H76" s="564" t="s">
        <v>72</v>
      </c>
      <c r="I76" s="563" t="s">
        <v>72</v>
      </c>
      <c r="J76" s="563" t="s">
        <v>72</v>
      </c>
      <c r="K76" s="564" t="s">
        <v>72</v>
      </c>
      <c r="L76" s="563" t="s">
        <v>72</v>
      </c>
      <c r="M76" s="565" t="s">
        <v>72</v>
      </c>
      <c r="N76" s="565" t="s">
        <v>72</v>
      </c>
      <c r="O76" s="565" t="s">
        <v>72</v>
      </c>
      <c r="P76" s="565" t="s">
        <v>72</v>
      </c>
      <c r="Q76" s="566">
        <v>6</v>
      </c>
      <c r="R76" s="567"/>
      <c r="S76" s="567"/>
      <c r="T76" s="509">
        <v>6</v>
      </c>
      <c r="U76" s="446">
        <v>1</v>
      </c>
      <c r="V76" s="576"/>
      <c r="W76" s="494"/>
    </row>
    <row r="77" spans="1:23" ht="18" customHeight="1">
      <c r="A77" s="494"/>
      <c r="B77" s="569" t="s">
        <v>434</v>
      </c>
      <c r="C77" s="570" t="s">
        <v>744</v>
      </c>
      <c r="D77" s="571" t="s">
        <v>72</v>
      </c>
      <c r="E77" s="563" t="s">
        <v>72</v>
      </c>
      <c r="F77" s="563" t="s">
        <v>72</v>
      </c>
      <c r="G77" s="563" t="s">
        <v>72</v>
      </c>
      <c r="H77" s="564" t="s">
        <v>72</v>
      </c>
      <c r="I77" s="563" t="s">
        <v>72</v>
      </c>
      <c r="J77" s="563" t="s">
        <v>72</v>
      </c>
      <c r="K77" s="564" t="s">
        <v>72</v>
      </c>
      <c r="L77" s="563" t="s">
        <v>72</v>
      </c>
      <c r="M77" s="572" t="s">
        <v>72</v>
      </c>
      <c r="N77" s="572" t="s">
        <v>72</v>
      </c>
      <c r="O77" s="572" t="s">
        <v>72</v>
      </c>
      <c r="P77" s="572" t="s">
        <v>72</v>
      </c>
      <c r="Q77" s="573">
        <v>6</v>
      </c>
      <c r="R77" s="567"/>
      <c r="S77" s="567"/>
      <c r="T77" s="509">
        <v>6</v>
      </c>
      <c r="U77" s="446">
        <v>1</v>
      </c>
      <c r="V77" s="574"/>
      <c r="W77" s="494"/>
    </row>
    <row r="78" spans="1:23" ht="18" customHeight="1">
      <c r="A78" s="494"/>
      <c r="B78" s="560" t="s">
        <v>758</v>
      </c>
      <c r="C78" s="561" t="s">
        <v>744</v>
      </c>
      <c r="D78" s="562" t="s">
        <v>72</v>
      </c>
      <c r="E78" s="563" t="s">
        <v>72</v>
      </c>
      <c r="F78" s="563" t="s">
        <v>72</v>
      </c>
      <c r="G78" s="563" t="s">
        <v>72</v>
      </c>
      <c r="H78" s="564" t="s">
        <v>72</v>
      </c>
      <c r="I78" s="563" t="s">
        <v>72</v>
      </c>
      <c r="J78" s="563" t="s">
        <v>72</v>
      </c>
      <c r="K78" s="564" t="s">
        <v>72</v>
      </c>
      <c r="L78" s="563" t="s">
        <v>72</v>
      </c>
      <c r="M78" s="565" t="s">
        <v>72</v>
      </c>
      <c r="N78" s="565" t="s">
        <v>72</v>
      </c>
      <c r="O78" s="565" t="s">
        <v>72</v>
      </c>
      <c r="P78" s="565" t="s">
        <v>72</v>
      </c>
      <c r="Q78" s="566">
        <v>6</v>
      </c>
      <c r="R78" s="567"/>
      <c r="S78" s="567"/>
      <c r="T78" s="509">
        <v>6</v>
      </c>
      <c r="U78" s="446">
        <v>1</v>
      </c>
      <c r="V78" s="576"/>
      <c r="W78" s="494"/>
    </row>
    <row r="79" spans="1:23" ht="18" customHeight="1">
      <c r="A79" s="494"/>
      <c r="B79" s="569" t="s">
        <v>439</v>
      </c>
      <c r="C79" s="570" t="s">
        <v>744</v>
      </c>
      <c r="D79" s="571" t="s">
        <v>72</v>
      </c>
      <c r="E79" s="563" t="s">
        <v>72</v>
      </c>
      <c r="F79" s="563" t="s">
        <v>72</v>
      </c>
      <c r="G79" s="563" t="s">
        <v>72</v>
      </c>
      <c r="H79" s="564" t="s">
        <v>72</v>
      </c>
      <c r="I79" s="563" t="s">
        <v>72</v>
      </c>
      <c r="J79" s="563" t="s">
        <v>72</v>
      </c>
      <c r="K79" s="564" t="s">
        <v>72</v>
      </c>
      <c r="L79" s="563" t="s">
        <v>72</v>
      </c>
      <c r="M79" s="572" t="s">
        <v>72</v>
      </c>
      <c r="N79" s="572" t="s">
        <v>72</v>
      </c>
      <c r="O79" s="572" t="s">
        <v>72</v>
      </c>
      <c r="P79" s="572" t="s">
        <v>72</v>
      </c>
      <c r="Q79" s="573">
        <v>4</v>
      </c>
      <c r="R79" s="567"/>
      <c r="S79" s="567"/>
      <c r="T79" s="509">
        <v>4</v>
      </c>
      <c r="U79" s="446">
        <v>1</v>
      </c>
      <c r="V79" s="574"/>
      <c r="W79" s="494"/>
    </row>
    <row r="80" spans="1:23" ht="18" customHeight="1">
      <c r="A80" s="494"/>
      <c r="B80" s="560" t="s">
        <v>438</v>
      </c>
      <c r="C80" s="561" t="s">
        <v>744</v>
      </c>
      <c r="D80" s="562" t="s">
        <v>72</v>
      </c>
      <c r="E80" s="563" t="s">
        <v>72</v>
      </c>
      <c r="F80" s="563" t="s">
        <v>72</v>
      </c>
      <c r="G80" s="563" t="s">
        <v>72</v>
      </c>
      <c r="H80" s="564" t="s">
        <v>72</v>
      </c>
      <c r="I80" s="563" t="s">
        <v>72</v>
      </c>
      <c r="J80" s="563" t="s">
        <v>72</v>
      </c>
      <c r="K80" s="564" t="s">
        <v>72</v>
      </c>
      <c r="L80" s="563" t="s">
        <v>72</v>
      </c>
      <c r="M80" s="565" t="s">
        <v>72</v>
      </c>
      <c r="N80" s="565" t="s">
        <v>72</v>
      </c>
      <c r="O80" s="565" t="s">
        <v>72</v>
      </c>
      <c r="P80" s="565" t="s">
        <v>72</v>
      </c>
      <c r="Q80" s="566">
        <v>4</v>
      </c>
      <c r="R80" s="567"/>
      <c r="S80" s="567"/>
      <c r="T80" s="509">
        <v>4</v>
      </c>
      <c r="U80" s="446">
        <v>1</v>
      </c>
      <c r="V80" s="576"/>
      <c r="W80" s="494"/>
    </row>
    <row r="81" spans="1:23" ht="19.5" customHeight="1">
      <c r="A81" s="494"/>
      <c r="B81" s="550" t="s">
        <v>759</v>
      </c>
      <c r="C81" s="551"/>
      <c r="D81" s="551"/>
      <c r="E81" s="477" t="s">
        <v>72</v>
      </c>
      <c r="F81" s="477" t="s">
        <v>72</v>
      </c>
      <c r="G81" s="477" t="s">
        <v>72</v>
      </c>
      <c r="H81" s="477" t="s">
        <v>72</v>
      </c>
      <c r="I81" s="487" t="s">
        <v>72</v>
      </c>
      <c r="J81" s="487" t="s">
        <v>72</v>
      </c>
      <c r="K81" s="477" t="s">
        <v>72</v>
      </c>
      <c r="L81" s="487" t="s">
        <v>72</v>
      </c>
      <c r="M81" s="480">
        <v>24</v>
      </c>
      <c r="N81" s="480">
        <v>30</v>
      </c>
      <c r="O81" s="480">
        <v>42</v>
      </c>
      <c r="P81" s="480">
        <v>92</v>
      </c>
      <c r="Q81" s="480">
        <v>88</v>
      </c>
      <c r="R81" s="551"/>
      <c r="S81" s="551"/>
      <c r="T81" s="480">
        <v>276</v>
      </c>
      <c r="U81" s="551"/>
      <c r="V81" s="551"/>
      <c r="W81" s="494"/>
    </row>
    <row r="82" spans="1:23" ht="15.75" customHeight="1">
      <c r="A82" s="494"/>
      <c r="B82" s="615" t="s">
        <v>760</v>
      </c>
      <c r="C82" s="615"/>
      <c r="D82" s="615"/>
      <c r="E82" s="615"/>
      <c r="F82" s="615"/>
      <c r="G82" s="615"/>
      <c r="H82" s="615"/>
      <c r="I82" s="615"/>
      <c r="J82" s="615"/>
      <c r="K82" s="615"/>
      <c r="L82" s="615"/>
      <c r="M82" s="615"/>
      <c r="N82" s="615"/>
      <c r="O82" s="615"/>
      <c r="P82" s="615"/>
      <c r="Q82" s="615"/>
      <c r="R82" s="615"/>
      <c r="S82" s="615"/>
      <c r="T82" s="615"/>
      <c r="U82" s="615"/>
      <c r="V82" s="615"/>
      <c r="W82" s="494"/>
    </row>
    <row r="83" spans="1:23" ht="19.5" customHeight="1">
      <c r="B83" s="617" t="s">
        <v>761</v>
      </c>
      <c r="C83" s="617"/>
      <c r="D83" s="617"/>
      <c r="E83" s="617"/>
      <c r="F83" s="617"/>
      <c r="G83" s="617"/>
      <c r="H83" s="617"/>
      <c r="I83" s="617"/>
      <c r="J83" s="617"/>
      <c r="K83" s="617"/>
      <c r="L83" s="494"/>
      <c r="M83" s="494"/>
    </row>
    <row r="84" spans="1:23" ht="18" customHeight="1">
      <c r="B84" s="580" t="s">
        <v>662</v>
      </c>
      <c r="C84" s="581" t="s">
        <v>762</v>
      </c>
      <c r="D84" s="582" t="s">
        <v>640</v>
      </c>
      <c r="E84" s="582" t="s">
        <v>641</v>
      </c>
      <c r="F84" s="582" t="s">
        <v>642</v>
      </c>
      <c r="G84" s="582" t="s">
        <v>643</v>
      </c>
      <c r="H84" s="582" t="s">
        <v>644</v>
      </c>
      <c r="I84" s="581" t="s">
        <v>763</v>
      </c>
      <c r="J84" s="581" t="s">
        <v>764</v>
      </c>
      <c r="K84" s="580" t="s">
        <v>765</v>
      </c>
      <c r="L84" s="494"/>
      <c r="M84" s="494"/>
    </row>
    <row r="85" spans="1:23" ht="15.75" customHeight="1">
      <c r="B85" s="583" t="s">
        <v>18</v>
      </c>
      <c r="C85" s="584" t="s">
        <v>766</v>
      </c>
      <c r="D85" s="475">
        <v>67</v>
      </c>
      <c r="E85" s="475">
        <v>40</v>
      </c>
      <c r="F85" s="475">
        <v>100</v>
      </c>
      <c r="G85" s="475">
        <v>60</v>
      </c>
      <c r="H85" s="475">
        <v>54</v>
      </c>
      <c r="I85" s="480">
        <v>321</v>
      </c>
      <c r="J85" s="585" t="s">
        <v>767</v>
      </c>
      <c r="K85" s="586" t="s">
        <v>768</v>
      </c>
      <c r="L85" s="494"/>
      <c r="M85" s="494"/>
    </row>
    <row r="86" spans="1:23" ht="15.75" customHeight="1">
      <c r="B86" s="587" t="s">
        <v>769</v>
      </c>
      <c r="C86" s="588" t="s">
        <v>770</v>
      </c>
      <c r="D86" s="589">
        <v>120</v>
      </c>
      <c r="E86" s="589">
        <v>60</v>
      </c>
      <c r="F86" s="589">
        <v>180</v>
      </c>
      <c r="G86" s="589">
        <v>360</v>
      </c>
      <c r="H86" s="589">
        <v>150</v>
      </c>
      <c r="I86" s="480">
        <v>870</v>
      </c>
      <c r="J86" s="590" t="s">
        <v>771</v>
      </c>
      <c r="K86" s="591" t="s">
        <v>772</v>
      </c>
      <c r="L86" s="494"/>
      <c r="M86" s="494"/>
    </row>
    <row r="87" spans="1:23" ht="15.75" customHeight="1">
      <c r="B87" s="592" t="s">
        <v>744</v>
      </c>
      <c r="C87" s="593" t="s">
        <v>773</v>
      </c>
      <c r="D87" s="566">
        <v>24</v>
      </c>
      <c r="E87" s="566">
        <v>30</v>
      </c>
      <c r="F87" s="566">
        <v>42</v>
      </c>
      <c r="G87" s="566">
        <v>92</v>
      </c>
      <c r="H87" s="566">
        <v>88</v>
      </c>
      <c r="I87" s="480">
        <v>276</v>
      </c>
      <c r="J87" s="594" t="s">
        <v>774</v>
      </c>
      <c r="K87" s="595" t="s">
        <v>775</v>
      </c>
      <c r="L87" s="494"/>
      <c r="M87" s="494"/>
    </row>
    <row r="88" spans="1:23" ht="15.75" customHeight="1">
      <c r="B88" s="596" t="s">
        <v>727</v>
      </c>
      <c r="C88" s="597" t="s">
        <v>776</v>
      </c>
      <c r="D88" s="598" t="s">
        <v>72</v>
      </c>
      <c r="E88" s="598" t="s">
        <v>72</v>
      </c>
      <c r="F88" s="548">
        <v>40</v>
      </c>
      <c r="G88" s="548">
        <v>28</v>
      </c>
      <c r="H88" s="548">
        <v>10</v>
      </c>
      <c r="I88" s="480">
        <v>78</v>
      </c>
      <c r="J88" s="599" t="s">
        <v>302</v>
      </c>
      <c r="K88" s="600" t="s">
        <v>777</v>
      </c>
      <c r="L88" s="494"/>
      <c r="M88" s="494"/>
    </row>
    <row r="89" spans="1:23" ht="18" customHeight="1">
      <c r="B89" s="550" t="s">
        <v>274</v>
      </c>
      <c r="C89" s="601"/>
      <c r="D89" s="480">
        <v>211</v>
      </c>
      <c r="E89" s="480">
        <v>130</v>
      </c>
      <c r="F89" s="480">
        <v>362</v>
      </c>
      <c r="G89" s="480">
        <v>540</v>
      </c>
      <c r="H89" s="480">
        <v>302</v>
      </c>
      <c r="I89" s="480">
        <v>1545</v>
      </c>
      <c r="J89" s="602" t="s">
        <v>778</v>
      </c>
      <c r="K89" s="601"/>
      <c r="L89" s="494"/>
      <c r="M89" s="494"/>
    </row>
    <row r="90" spans="1:23" ht="15" customHeight="1">
      <c r="B90" s="494"/>
      <c r="C90" s="494"/>
      <c r="D90" s="494"/>
      <c r="E90" s="494"/>
      <c r="F90" s="494"/>
      <c r="G90" s="494"/>
      <c r="H90" s="494"/>
      <c r="I90" s="494"/>
      <c r="J90" s="494"/>
      <c r="K90" s="494"/>
      <c r="L90" s="494"/>
      <c r="M90" s="494"/>
    </row>
  </sheetData>
  <mergeCells count="10">
    <mergeCell ref="B54:Q54"/>
    <mergeCell ref="B59:V59"/>
    <mergeCell ref="B60:V60"/>
    <mergeCell ref="B82:V82"/>
    <mergeCell ref="B83:K83"/>
    <mergeCell ref="B1:J1"/>
    <mergeCell ref="B10:J10"/>
    <mergeCell ref="B18:S18"/>
    <mergeCell ref="B20:R20"/>
    <mergeCell ref="B21:R21"/>
  </mergeCells>
  <phoneticPr fontId="202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①月次KPI目標</vt:lpstr>
      <vt:lpstr>②月次活動計画</vt:lpstr>
      <vt:lpstr>③月次KPI実績管理</vt:lpstr>
      <vt:lpstr>④KPI逆算ロジック</vt:lpstr>
      <vt:lpstr>Instagram分析</vt:lpstr>
      <vt:lpstr>2月実績詳細</vt:lpstr>
      <vt:lpstr>Instagram課題・対策</vt:lpstr>
      <vt:lpstr>25年度実績</vt:lpstr>
      <vt:lpstr>④取引先マスタ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浩晃 原</cp:lastModifiedBy>
  <cp:revision>0</cp:revision>
  <dcterms:created xsi:type="dcterms:W3CDTF">2026-03-12T06:23:47Z</dcterms:created>
  <dcterms:modified xsi:type="dcterms:W3CDTF">2026-03-26T02:17:40Z</dcterms:modified>
  <dc:language>en-US</dc:language>
</cp:coreProperties>
</file>