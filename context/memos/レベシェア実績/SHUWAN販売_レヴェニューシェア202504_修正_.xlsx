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酒碗/"/>
    </mc:Choice>
  </mc:AlternateContent>
  <xr:revisionPtr revIDLastSave="0" documentId="8_{20780695-04AC-4B60-BBA5-F43C62616AA4}" xr6:coauthVersionLast="47" xr6:coauthVersionMax="47" xr10:uidLastSave="{00000000-0000-0000-0000-000000000000}"/>
  <bookViews>
    <workbookView minimized="1" xWindow="383" yWindow="2325" windowWidth="14400" windowHeight="12053" xr2:uid="{9516FBB4-3A9B-6D45-85D3-EE0B367FE07A}"/>
  </bookViews>
  <sheets>
    <sheet name="レヴェニューシェア資料" sheetId="2" r:id="rId1"/>
    <sheet name="Amazon詳細" sheetId="5" r:id="rId2"/>
    <sheet name="shopify手数料試算" sheetId="3" r:id="rId3"/>
  </sheets>
  <definedNames>
    <definedName name="_xlnm._FilterDatabase" localSheetId="1" hidden="1">Amazon詳細!$A$1:$K$53</definedName>
    <definedName name="payment_transactions_export_1__2" localSheetId="2">shopify手数料試算!#REF!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9" i="2" l="1"/>
  <c r="I51" i="5"/>
  <c r="I54" i="5" s="1"/>
  <c r="D21" i="2"/>
  <c r="D14" i="2" l="1"/>
  <c r="B27" i="2" s="1"/>
  <c r="I52" i="5"/>
  <c r="J52" i="5"/>
  <c r="J51" i="5"/>
  <c r="H51" i="5"/>
  <c r="H54" i="5" s="1"/>
  <c r="H52" i="5"/>
  <c r="H55" i="5" s="1"/>
  <c r="G51" i="5"/>
  <c r="G54" i="5" s="1"/>
  <c r="G52" i="5"/>
  <c r="F51" i="5"/>
  <c r="F52" i="5"/>
  <c r="B9" i="2"/>
  <c r="C6" i="2"/>
  <c r="D5" i="2"/>
  <c r="D3" i="2"/>
  <c r="J53" i="5" l="1"/>
  <c r="J54" i="5" s="1"/>
  <c r="I53" i="5"/>
  <c r="G53" i="5"/>
  <c r="C18" i="2"/>
  <c r="H53" i="5"/>
  <c r="F53" i="5"/>
  <c r="D4" i="2"/>
  <c r="C20" i="2" l="1"/>
  <c r="I17" i="3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20" i="2"/>
  <c r="D18" i="2" l="1"/>
  <c r="D6" i="2"/>
  <c r="B25" i="2" s="1"/>
  <c r="D19" i="2"/>
  <c r="D20" i="2"/>
  <c r="D22" i="2" l="1"/>
  <c r="B26" i="2" s="1"/>
  <c r="B28" i="2" l="1"/>
  <c r="B29" i="2" s="1"/>
  <c r="B30" i="2" l="1"/>
</calcChain>
</file>

<file path=xl/sharedStrings.xml><?xml version="1.0" encoding="utf-8"?>
<sst xmlns="http://schemas.openxmlformats.org/spreadsheetml/2006/main" count="359" uniqueCount="120">
  <si>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</si>
  <si>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</si>
  <si>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</si>
  <si>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</si>
  <si>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</si>
  <si>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</si>
  <si>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</si>
  <si>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</si>
  <si>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</si>
  <si>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</si>
  <si>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</si>
  <si>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</si>
  <si>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</si>
  <si>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</si>
  <si>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</si>
  <si>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</si>
  <si>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</si>
  <si>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</si>
  <si>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</si>
  <si>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</si>
  <si>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</si>
  <si>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</si>
  <si>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</si>
  <si>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</si>
  <si>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</si>
  <si>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</si>
  <si>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</si>
  <si>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</si>
  <si>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</si>
  <si>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</si>
  <si>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</si>
  <si>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</si>
  <si>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オンラインショップ</t>
    <rPh sb="0" eb="2">
      <t>オンラインショップ</t>
    </rPh>
    <phoneticPr fontId="1"/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</si>
  <si>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</si>
  <si>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</si>
  <si>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飲食店向け販売(箱無し)</t>
    <rPh sb="0" eb="3">
      <t xml:space="preserve">インショクテン </t>
    </rPh>
    <rPh sb="3" eb="4">
      <t xml:space="preserve">ムケ </t>
    </rPh>
    <rPh sb="5" eb="7">
      <t xml:space="preserve">ハンバイ </t>
    </rPh>
    <rPh sb="8" eb="10">
      <t xml:space="preserve">ハコナシ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</si>
  <si>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</si>
  <si>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</si>
  <si>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一般(箱あり)</t>
    <rPh sb="0" eb="2">
      <t xml:space="preserve">イッパン </t>
    </rPh>
    <rPh sb="3" eb="4">
      <t xml:space="preserve">ハコアリ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</si>
  <si>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</si>
  <si>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プロモーション割引合計</t>
    <phoneticPr fontId="1"/>
  </si>
  <si>
    <t>Amazon手数料</t>
    <phoneticPr fontId="1"/>
  </si>
  <si>
    <t>その他</t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</si>
  <si>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</si>
  <si>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</si>
  <si>
    <t>支払い実行済み</t>
  </si>
  <si>
    <t>注文に対する支払い</t>
  </si>
  <si>
    <t>503-3537641-7423057</t>
  </si>
  <si>
    <t>SHUWAN 正規品 公式 日本酒グラス, 270ml, 磁器,食洗機対応,燗,...</t>
  </si>
  <si>
    <t>503-4191879-1242229</t>
  </si>
  <si>
    <t>249-9562726-7935839</t>
  </si>
  <si>
    <t>249-9436347-4903024</t>
  </si>
  <si>
    <t>503-4180954-5223046</t>
  </si>
  <si>
    <t>503-1174485-0515000</t>
  </si>
  <si>
    <t>249-0596033-5723811</t>
  </si>
  <si>
    <t>503-0303752-0755853</t>
  </si>
  <si>
    <t>250-6940361-9290230</t>
  </si>
  <si>
    <t>503-1436538-2654264</t>
  </si>
  <si>
    <t>249-4024989-9941433</t>
  </si>
  <si>
    <t>503-4336717-5590261</t>
  </si>
  <si>
    <t>250-4910557-2016606</t>
  </si>
  <si>
    <t>503-7893288-6479021</t>
  </si>
  <si>
    <t>503-4799087-0535834</t>
  </si>
  <si>
    <t>250-8662564-1574239</t>
  </si>
  <si>
    <t>249-9359465-0288618</t>
  </si>
  <si>
    <t>503-5066737-8492608</t>
  </si>
  <si>
    <t>250-9554889-3755041</t>
  </si>
  <si>
    <t>249-5134256-9446241</t>
  </si>
  <si>
    <t>503-0387634-9478251</t>
  </si>
  <si>
    <t>503-4259308-6945458</t>
  </si>
  <si>
    <t>503-8857049-0847816</t>
  </si>
  <si>
    <t>250-1477393-5946211</t>
  </si>
  <si>
    <t>250-0092796-8364646</t>
  </si>
  <si>
    <t>503-2072964-7327014</t>
  </si>
  <si>
    <t>249-1238130-6676656</t>
  </si>
  <si>
    <t>503-3435532-3687024</t>
  </si>
  <si>
    <t>250-0560568-5995049</t>
  </si>
  <si>
    <t>249-1029103-0089436</t>
  </si>
  <si>
    <t>留保中</t>
  </si>
  <si>
    <t>VINE</t>
    <phoneticPr fontId="1"/>
  </si>
  <si>
    <t>日付</t>
  </si>
  <si>
    <t>トランザクションステータス</t>
  </si>
  <si>
    <t>トランザクションの種類</t>
  </si>
  <si>
    <t>注文番号</t>
  </si>
  <si>
    <t>商品の詳細</t>
  </si>
  <si>
    <t>商品価格合計</t>
  </si>
  <si>
    <t>プロモーション割引合計</t>
  </si>
  <si>
    <t>Amazon手数料</t>
  </si>
  <si>
    <t>その他</t>
  </si>
  <si>
    <t>合計 (JPY)</t>
  </si>
  <si>
    <t>503-1524999-8159830</t>
  </si>
  <si>
    <t>SHUWAN 正規品 公式 日本酒グラス, 酒器,270ml, 磁器,食洗機対応...</t>
  </si>
  <si>
    <t>503-9905888-7539010</t>
  </si>
  <si>
    <t>250-4130900-6496644</t>
  </si>
  <si>
    <t>503-3559968-4111045</t>
  </si>
  <si>
    <t>249-4819329-1564636</t>
  </si>
  <si>
    <t>249-5380862-8534212</t>
  </si>
  <si>
    <t>503-0338643-4118218</t>
  </si>
  <si>
    <t>サービス料金</t>
  </si>
  <si>
    <t>---</t>
  </si>
  <si>
    <t>Vine登録料</t>
  </si>
  <si>
    <t>広告費用</t>
  </si>
  <si>
    <t>249-9303965-4197450</t>
  </si>
  <si>
    <t>249-1003053-7705402</t>
  </si>
  <si>
    <t>250-3536329-2367048</t>
  </si>
  <si>
    <t>250-4196045-3127839</t>
  </si>
  <si>
    <t>249-5228791-0067804</t>
  </si>
  <si>
    <t>月額登録料：</t>
  </si>
  <si>
    <t>249-5784577-3619000</t>
  </si>
  <si>
    <t>Amazonに支払う額 | 出品者からの返済額</t>
  </si>
  <si>
    <t>通常販売</t>
    <rPh sb="0" eb="2">
      <t xml:space="preserve">ツウジョウ </t>
    </rPh>
    <rPh sb="2" eb="4">
      <t xml:space="preserve">ハンバイ </t>
    </rPh>
    <phoneticPr fontId="1"/>
  </si>
  <si>
    <t>下記は3月に計上しているので対象外</t>
    <rPh sb="0" eb="2">
      <t xml:space="preserve">カキ </t>
    </rPh>
    <rPh sb="4" eb="5">
      <t xml:space="preserve">ガツ </t>
    </rPh>
    <rPh sb="6" eb="8">
      <t xml:space="preserve">ケイジョウ </t>
    </rPh>
    <rPh sb="14" eb="16">
      <t xml:space="preserve">タイショウ </t>
    </rPh>
    <rPh sb="16" eb="17">
      <t xml:space="preserve">ガイ </t>
    </rPh>
    <phoneticPr fontId="1"/>
  </si>
  <si>
    <t>その他費用</t>
    <rPh sb="3" eb="5">
      <t xml:space="preserve">ヒヨウ </t>
    </rPh>
    <phoneticPr fontId="1"/>
  </si>
  <si>
    <t>クレジット支払い(4/5までの清算分)</t>
    <rPh sb="5" eb="7">
      <t xml:space="preserve">シハライ </t>
    </rPh>
    <rPh sb="15" eb="17">
      <t xml:space="preserve">セイサン </t>
    </rPh>
    <rPh sb="17" eb="18">
      <t xml:space="preserve">ブン </t>
    </rPh>
    <phoneticPr fontId="1"/>
  </si>
  <si>
    <t>集計</t>
    <rPh sb="0" eb="2">
      <t xml:space="preserve">シュウケイ </t>
    </rPh>
    <phoneticPr fontId="1"/>
  </si>
  <si>
    <t>その他費用</t>
    <phoneticPr fontId="1"/>
  </si>
  <si>
    <t>広告費用/月額登録料</t>
    <phoneticPr fontId="1"/>
  </si>
  <si>
    <t>嶺様20碗
築地すしOmakase9碗</t>
    <rPh sb="0" eb="1">
      <t xml:space="preserve">レイ </t>
    </rPh>
    <rPh sb="1" eb="2">
      <t xml:space="preserve">サマ </t>
    </rPh>
    <rPh sb="4" eb="5">
      <t xml:space="preserve">ワン </t>
    </rPh>
    <rPh sb="18" eb="19">
      <t>_x0000__x0000__x0001__x0003__x0001__x0001_</t>
    </rPh>
    <phoneticPr fontId="1"/>
  </si>
  <si>
    <t>VINE</t>
  </si>
  <si>
    <t>(税抜)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</si>
</sst>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6" fontId="4" fillId="0" borderId="1" xfId="2" applyFont="1" applyBorder="1">
      <alignment vertical="center"/>
    </xf>
    <xf numFmtId="38" fontId="4" fillId="0" borderId="1" xfId="1" applyFont="1" applyBorder="1">
      <alignment vertical="center"/>
    </xf>
    <xf numFmtId="0" fontId="4" fillId="0" borderId="0" xfId="0" applyFont="1">
      <alignment vertical="center"/>
    </xf>
    <xf numFmtId="6" fontId="4" fillId="0" borderId="0" xfId="2" applyFont="1" applyBorder="1">
      <alignment vertical="center"/>
    </xf>
    <xf numFmtId="6" fontId="4" fillId="0" borderId="0" xfId="2" applyFont="1">
      <alignment vertical="center"/>
    </xf>
    <xf numFmtId="6" fontId="4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4" fillId="0" borderId="2" xfId="2" applyFont="1" applyFill="1" applyBorder="1">
      <alignment vertical="center"/>
    </xf>
    <xf numFmtId="38" fontId="4" fillId="0" borderId="2" xfId="1" applyFont="1" applyFill="1" applyBorder="1">
      <alignment vertical="center"/>
    </xf>
    <xf numFmtId="0" fontId="4" fillId="0" borderId="2" xfId="0" applyFont="1" applyBorder="1">
      <alignment vertical="center"/>
    </xf>
    <xf numFmtId="38" fontId="4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0" fontId="3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14" fontId="0" fillId="0" borderId="1" xfId="0" applyNumberFormat="1" applyBorder="1">
      <alignment vertical="center"/>
    </xf>
    <xf numFmtId="6" fontId="4" fillId="0" borderId="1" xfId="2" applyFont="1" applyFill="1" applyBorder="1">
      <alignment vertical="center"/>
    </xf>
    <xf numFmtId="0" fontId="3" fillId="0" borderId="1" xfId="0" applyFont="1" applyBorder="1" applyAlignment="1">
      <alignment vertical="center" wrapText="1"/>
    </xf>
    <xf numFmtId="6" fontId="3" fillId="0" borderId="0" xfId="0" applyNumberFormat="1" applyFont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F32"/>
  <sheetViews>
    <sheetView tabSelected="1" workbookViewId="0">
      <selection activeCell="G7" sqref="G7"/>
    </sheetView>
  </sheetViews>
  <sheetFormatPr defaultColWidth="10.71875" defaultRowHeight="24.4" x14ac:dyDescent="0.8"/>
  <cols>
    <col min="1" max="1" width="29" style="1" bestFit="1" customWidth="1"/>
    <col min="2" max="2" width="10.5546875" style="1" bestFit="1" customWidth="1"/>
    <col min="3" max="3" width="6" style="1" bestFit="1" customWidth="1"/>
    <col min="4" max="4" width="10.5546875" style="1" bestFit="1" customWidth="1"/>
    <col min="5" max="5" width="25.27734375" style="1" bestFit="1" customWidth="1"/>
    <col min="6" max="16384" width="10.71875" style="1"/>
  </cols>
  <sheetData>
    <row r="1" spans="1:6" x14ac:dyDescent="0.8">
      <c r="A1" s="1" t="s">
        <v>13</v>
      </c>
    </row>
    <row r="2" spans="1:6" x14ac:dyDescent="0.8">
      <c r="A2" s="2" t="s">
        <v>2</v>
      </c>
      <c r="B2" s="2" t="s">
        <v>5</v>
      </c>
      <c r="C2" s="2" t="s">
        <v>3</v>
      </c>
      <c r="D2" s="2" t="s">
        <v>14</v>
      </c>
      <c r="E2" s="15" t="s">
        <v>33</v>
      </c>
    </row>
    <row r="3" spans="1:6" x14ac:dyDescent="0.8">
      <c r="A3" s="2" t="s">
        <v>32</v>
      </c>
      <c r="B3" s="3">
        <v>3600</v>
      </c>
      <c r="C3" s="4">
        <v>59</v>
      </c>
      <c r="D3" s="3">
        <f>C3*B3</f>
        <v>212400</v>
      </c>
      <c r="E3" s="15"/>
    </row>
    <row r="4" spans="1:6" ht="48.75" x14ac:dyDescent="0.8">
      <c r="A4" s="2" t="s">
        <v>35</v>
      </c>
      <c r="B4" s="3">
        <v>2880</v>
      </c>
      <c r="C4" s="4">
        <v>29</v>
      </c>
      <c r="D4" s="3">
        <f>C4*B4</f>
        <v>83520</v>
      </c>
      <c r="E4" s="21" t="s">
        <v>117</v>
      </c>
    </row>
    <row r="5" spans="1:6" x14ac:dyDescent="0.8">
      <c r="A5" s="2" t="s">
        <v>38</v>
      </c>
      <c r="B5" s="3">
        <v>3600</v>
      </c>
      <c r="C5" s="14">
        <v>0</v>
      </c>
      <c r="D5" s="3">
        <f>C5*B5</f>
        <v>0</v>
      </c>
      <c r="E5" s="15"/>
    </row>
    <row r="6" spans="1:6" x14ac:dyDescent="0.8">
      <c r="A6" s="2" t="s">
        <v>34</v>
      </c>
      <c r="B6" s="11"/>
      <c r="C6" s="14">
        <f>SUM(C3:C5)</f>
        <v>88</v>
      </c>
      <c r="D6" s="3">
        <f>SUM(D3:D4)</f>
        <v>295920</v>
      </c>
      <c r="E6" s="15"/>
    </row>
    <row r="7" spans="1:6" x14ac:dyDescent="0.8">
      <c r="A7" s="5"/>
      <c r="B7" s="5"/>
      <c r="C7" s="5"/>
      <c r="D7" s="6"/>
    </row>
    <row r="8" spans="1:6" x14ac:dyDescent="0.8">
      <c r="A8" s="2" t="s">
        <v>44</v>
      </c>
      <c r="B8" s="2" t="s">
        <v>5</v>
      </c>
      <c r="C8" s="2" t="s">
        <v>3</v>
      </c>
      <c r="D8" s="2" t="s">
        <v>14</v>
      </c>
      <c r="E8" s="15" t="s">
        <v>33</v>
      </c>
    </row>
    <row r="9" spans="1:6" x14ac:dyDescent="0.8">
      <c r="A9" s="2" t="s">
        <v>39</v>
      </c>
      <c r="B9" s="2">
        <f>ROUND(D9/C9,0)</f>
        <v>3868</v>
      </c>
      <c r="C9" s="2">
        <v>15</v>
      </c>
      <c r="D9" s="3">
        <v>58022</v>
      </c>
      <c r="E9" s="15"/>
    </row>
    <row r="10" spans="1:6" x14ac:dyDescent="0.8">
      <c r="A10" s="2" t="s">
        <v>40</v>
      </c>
      <c r="B10" s="11"/>
      <c r="C10" s="11"/>
      <c r="D10" s="3">
        <v>1840</v>
      </c>
      <c r="E10" s="15"/>
    </row>
    <row r="11" spans="1:6" x14ac:dyDescent="0.8">
      <c r="A11" s="2" t="s">
        <v>41</v>
      </c>
      <c r="B11" s="11"/>
      <c r="C11" s="11"/>
      <c r="D11" s="3">
        <v>15257</v>
      </c>
      <c r="E11" s="15"/>
    </row>
    <row r="12" spans="1:6" x14ac:dyDescent="0.8">
      <c r="A12" s="2" t="s">
        <v>42</v>
      </c>
      <c r="B12" s="11"/>
      <c r="C12" s="11"/>
      <c r="D12" s="3">
        <v>-5836</v>
      </c>
      <c r="E12" s="15"/>
    </row>
    <row r="13" spans="1:6" x14ac:dyDescent="0.8">
      <c r="A13" s="2" t="s">
        <v>115</v>
      </c>
      <c r="B13" s="20"/>
      <c r="C13" s="20"/>
      <c r="D13" s="3">
        <v>10224</v>
      </c>
      <c r="E13" s="15" t="s">
        <v>116</v>
      </c>
    </row>
    <row r="14" spans="1:6" x14ac:dyDescent="0.8">
      <c r="A14" s="2" t="s">
        <v>16</v>
      </c>
      <c r="B14" s="2"/>
      <c r="C14" s="2"/>
      <c r="D14" s="3">
        <f>D9-D10-D11-D12-D13</f>
        <v>36537</v>
      </c>
      <c r="E14" s="15"/>
    </row>
    <row r="15" spans="1:6" x14ac:dyDescent="0.8">
      <c r="A15" s="5"/>
      <c r="B15" s="5"/>
      <c r="C15" s="5"/>
      <c r="D15" s="6"/>
      <c r="F15" s="22"/>
    </row>
    <row r="16" spans="1:6" x14ac:dyDescent="0.8">
      <c r="A16" s="5" t="s">
        <v>4</v>
      </c>
      <c r="B16" s="7"/>
      <c r="D16" s="7"/>
    </row>
    <row r="17" spans="1:5" x14ac:dyDescent="0.8">
      <c r="A17" s="2" t="s">
        <v>2</v>
      </c>
      <c r="B17" s="2" t="s">
        <v>5</v>
      </c>
      <c r="C17" s="2" t="s">
        <v>3</v>
      </c>
      <c r="D17" s="2" t="s">
        <v>14</v>
      </c>
      <c r="E17" s="15" t="s">
        <v>33</v>
      </c>
    </row>
    <row r="18" spans="1:5" x14ac:dyDescent="0.8">
      <c r="A18" s="2" t="s">
        <v>9</v>
      </c>
      <c r="B18" s="3">
        <v>1050</v>
      </c>
      <c r="C18" s="4">
        <f>C6+C9</f>
        <v>103</v>
      </c>
      <c r="D18" s="3">
        <f>B18*C18</f>
        <v>108150</v>
      </c>
      <c r="E18" s="15"/>
    </row>
    <row r="19" spans="1:5" x14ac:dyDescent="0.8">
      <c r="A19" s="2" t="s">
        <v>6</v>
      </c>
      <c r="B19" s="3">
        <v>100</v>
      </c>
      <c r="C19" s="4">
        <f>C6-C4+C9</f>
        <v>74</v>
      </c>
      <c r="D19" s="3">
        <f>B19*C19</f>
        <v>7400</v>
      </c>
      <c r="E19" s="15"/>
    </row>
    <row r="20" spans="1:5" x14ac:dyDescent="0.8">
      <c r="A20" s="2" t="s">
        <v>7</v>
      </c>
      <c r="B20" s="3">
        <f>ROUND(150/1.1,0)</f>
        <v>136</v>
      </c>
      <c r="C20" s="4">
        <f>C6</f>
        <v>88</v>
      </c>
      <c r="D20" s="3">
        <f>B20*C20</f>
        <v>11968</v>
      </c>
      <c r="E20" s="15"/>
    </row>
    <row r="21" spans="1:5" x14ac:dyDescent="0.8">
      <c r="A21" s="16" t="s">
        <v>37</v>
      </c>
      <c r="B21" s="11"/>
      <c r="C21" s="12"/>
      <c r="D21" s="3">
        <f>ROUND(D3*0.0373,0)</f>
        <v>7923</v>
      </c>
      <c r="E21" s="17">
        <v>-3.73E-2</v>
      </c>
    </row>
    <row r="22" spans="1:5" x14ac:dyDescent="0.8">
      <c r="A22" s="2" t="s">
        <v>36</v>
      </c>
      <c r="B22" s="13"/>
      <c r="C22" s="13"/>
      <c r="D22" s="3">
        <f>SUM(D18:D21)</f>
        <v>135441</v>
      </c>
      <c r="E22" s="15"/>
    </row>
    <row r="23" spans="1:5" x14ac:dyDescent="0.8">
      <c r="A23" s="5"/>
      <c r="B23" s="5"/>
      <c r="C23" s="5"/>
      <c r="D23" s="6"/>
    </row>
    <row r="24" spans="1:5" x14ac:dyDescent="0.8">
      <c r="A24" s="2" t="s">
        <v>2</v>
      </c>
      <c r="B24" s="2" t="s">
        <v>8</v>
      </c>
    </row>
    <row r="25" spans="1:5" x14ac:dyDescent="0.8">
      <c r="A25" s="2" t="s">
        <v>10</v>
      </c>
      <c r="B25" s="8">
        <f>D6</f>
        <v>295920</v>
      </c>
    </row>
    <row r="26" spans="1:5" x14ac:dyDescent="0.8">
      <c r="A26" s="2" t="s">
        <v>11</v>
      </c>
      <c r="B26" s="8">
        <f>D22</f>
        <v>135441</v>
      </c>
    </row>
    <row r="27" spans="1:5" x14ac:dyDescent="0.8">
      <c r="A27" s="2" t="s">
        <v>43</v>
      </c>
      <c r="B27" s="8">
        <f>D14</f>
        <v>36537</v>
      </c>
    </row>
    <row r="28" spans="1:5" x14ac:dyDescent="0.8">
      <c r="A28" s="2" t="s">
        <v>0</v>
      </c>
      <c r="B28" s="8">
        <f>B25-B26+B27</f>
        <v>197016</v>
      </c>
    </row>
    <row r="29" spans="1:5" x14ac:dyDescent="0.8">
      <c r="A29" s="2" t="s">
        <v>1</v>
      </c>
      <c r="B29" s="3">
        <f>ROUND(B28*0.6,0)</f>
        <v>118210</v>
      </c>
    </row>
    <row r="30" spans="1:5" x14ac:dyDescent="0.8">
      <c r="A30" s="2" t="s">
        <v>12</v>
      </c>
      <c r="B30" s="3">
        <f>B28*0.4</f>
        <v>78806.400000000009</v>
      </c>
    </row>
    <row r="32" spans="1:5" x14ac:dyDescent="0.8">
      <c r="A32" s="1" t="s">
        <v>15</v>
      </c>
    </row>
  </sheetData>
  <phoneticPr fontId="1"/>
  <pageMargins left="0.25" right="0.25" top="0.75" bottom="0.75" header="0.3" footer="0.3"/>
  <pageSetup paperSize="9" orientation="portrait" horizontalDpi="0" verticalDpi="0"/>
  <headerFooter>
    <oddHeader>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9AF07-50AC-7F44-B074-C4820E76FF34}">
  <dimension ref="A1:K58"/>
  <sheetViews>
    <sheetView workbookViewId="0">
      <pane xSplit="4980" ySplit="840" topLeftCell="H37" activePane="bottomRight"/>
      <selection pane="topRight" activeCell="K1" sqref="K1"/>
      <selection pane="bottomLeft" activeCell="A56" sqref="A56"/>
      <selection pane="bottomRight" activeCell="J55" sqref="J55"/>
    </sheetView>
  </sheetViews>
  <sheetFormatPr defaultColWidth="10.6640625" defaultRowHeight="19.899999999999999" x14ac:dyDescent="0.8"/>
  <cols>
    <col min="1" max="1" width="31.83203125" bestFit="1" customWidth="1"/>
    <col min="2" max="2" width="25.1640625" bestFit="1" customWidth="1"/>
    <col min="3" max="3" width="35.71875" bestFit="1" customWidth="1"/>
    <col min="4" max="4" width="20.83203125" bestFit="1" customWidth="1"/>
    <col min="5" max="5" width="58" bestFit="1" customWidth="1"/>
    <col min="6" max="6" width="12" bestFit="1" customWidth="1"/>
    <col min="7" max="7" width="21.44140625" bestFit="1" customWidth="1"/>
    <col min="8" max="8" width="13.27734375" bestFit="1" customWidth="1"/>
    <col min="9" max="9" width="7.44140625" bestFit="1" customWidth="1"/>
    <col min="10" max="10" width="9.83203125" bestFit="1" customWidth="1"/>
    <col min="11" max="11" width="31.5546875" bestFit="1" customWidth="1"/>
  </cols>
  <sheetData>
    <row r="1" spans="1:11" x14ac:dyDescent="0.8">
      <c r="A1" s="18" t="s">
        <v>80</v>
      </c>
      <c r="B1" s="18" t="s">
        <v>81</v>
      </c>
      <c r="C1" s="18" t="s">
        <v>82</v>
      </c>
      <c r="D1" s="18" t="s">
        <v>83</v>
      </c>
      <c r="E1" s="18" t="s">
        <v>84</v>
      </c>
      <c r="F1" s="18" t="s">
        <v>85</v>
      </c>
      <c r="G1" s="18" t="s">
        <v>86</v>
      </c>
      <c r="H1" s="18" t="s">
        <v>87</v>
      </c>
      <c r="I1" s="18" t="s">
        <v>88</v>
      </c>
      <c r="J1" s="18" t="s">
        <v>89</v>
      </c>
      <c r="K1" s="18" t="s">
        <v>33</v>
      </c>
    </row>
    <row r="2" spans="1:11" x14ac:dyDescent="0.8">
      <c r="A2" s="19">
        <v>45771</v>
      </c>
      <c r="B2" s="18" t="s">
        <v>45</v>
      </c>
      <c r="C2" s="18" t="s">
        <v>98</v>
      </c>
      <c r="D2" s="18" t="s">
        <v>99</v>
      </c>
      <c r="E2" s="18" t="s">
        <v>100</v>
      </c>
      <c r="F2" s="18">
        <v>0</v>
      </c>
      <c r="G2" s="18">
        <v>0</v>
      </c>
      <c r="H2" s="18">
        <v>0</v>
      </c>
      <c r="I2" s="18">
        <v>0</v>
      </c>
      <c r="J2" s="18">
        <v>0</v>
      </c>
      <c r="K2" s="18"/>
    </row>
    <row r="3" spans="1:11" x14ac:dyDescent="0.8">
      <c r="A3" s="19">
        <v>45769</v>
      </c>
      <c r="B3" s="18" t="s">
        <v>45</v>
      </c>
      <c r="C3" s="18" t="s">
        <v>98</v>
      </c>
      <c r="D3" s="18" t="s">
        <v>99</v>
      </c>
      <c r="E3" s="18" t="s">
        <v>101</v>
      </c>
      <c r="F3" s="18">
        <v>0</v>
      </c>
      <c r="G3" s="18">
        <v>0</v>
      </c>
      <c r="H3" s="18">
        <v>-5607</v>
      </c>
      <c r="I3" s="18">
        <v>0</v>
      </c>
      <c r="J3" s="18">
        <v>-5607</v>
      </c>
      <c r="K3" s="18" t="s">
        <v>112</v>
      </c>
    </row>
    <row r="4" spans="1:11" x14ac:dyDescent="0.8">
      <c r="A4" s="19">
        <v>45762</v>
      </c>
      <c r="B4" s="18" t="s">
        <v>45</v>
      </c>
      <c r="C4" s="18" t="s">
        <v>98</v>
      </c>
      <c r="D4" s="18" t="s">
        <v>99</v>
      </c>
      <c r="E4" s="18" t="s">
        <v>101</v>
      </c>
      <c r="F4" s="18">
        <v>0</v>
      </c>
      <c r="G4" s="18">
        <v>0</v>
      </c>
      <c r="H4" s="18">
        <v>-205</v>
      </c>
      <c r="I4" s="18">
        <v>0</v>
      </c>
      <c r="J4" s="18">
        <v>-205</v>
      </c>
      <c r="K4" s="18" t="s">
        <v>112</v>
      </c>
    </row>
    <row r="5" spans="1:11" x14ac:dyDescent="0.8">
      <c r="A5" s="19">
        <v>45756</v>
      </c>
      <c r="B5" s="18" t="s">
        <v>45</v>
      </c>
      <c r="C5" s="18" t="s">
        <v>98</v>
      </c>
      <c r="D5" s="18" t="s">
        <v>99</v>
      </c>
      <c r="E5" s="18" t="s">
        <v>107</v>
      </c>
      <c r="F5" s="18">
        <v>0</v>
      </c>
      <c r="G5" s="18">
        <v>0</v>
      </c>
      <c r="H5" s="18">
        <v>-5390</v>
      </c>
      <c r="I5" s="18">
        <v>0</v>
      </c>
      <c r="J5" s="18">
        <v>-5390</v>
      </c>
      <c r="K5" s="18" t="s">
        <v>112</v>
      </c>
    </row>
    <row r="6" spans="1:11" x14ac:dyDescent="0.8">
      <c r="A6" s="19">
        <v>45754</v>
      </c>
      <c r="B6" s="18" t="s">
        <v>45</v>
      </c>
      <c r="C6" s="18" t="s">
        <v>98</v>
      </c>
      <c r="D6" s="18" t="s">
        <v>99</v>
      </c>
      <c r="E6" s="18"/>
      <c r="F6" s="18">
        <v>0</v>
      </c>
      <c r="G6" s="18">
        <v>0</v>
      </c>
      <c r="H6" s="18">
        <v>0</v>
      </c>
      <c r="I6" s="18">
        <v>0</v>
      </c>
      <c r="J6" s="18">
        <v>0</v>
      </c>
      <c r="K6" s="18" t="s">
        <v>112</v>
      </c>
    </row>
    <row r="7" spans="1:11" x14ac:dyDescent="0.8">
      <c r="A7" s="19">
        <v>45752</v>
      </c>
      <c r="B7" s="18" t="s">
        <v>45</v>
      </c>
      <c r="C7" s="18" t="s">
        <v>98</v>
      </c>
      <c r="D7" s="18" t="s">
        <v>99</v>
      </c>
      <c r="E7" s="18" t="s">
        <v>101</v>
      </c>
      <c r="F7" s="18">
        <v>0</v>
      </c>
      <c r="G7" s="18">
        <v>0</v>
      </c>
      <c r="H7" s="18">
        <v>-44</v>
      </c>
      <c r="I7" s="18">
        <v>0</v>
      </c>
      <c r="J7" s="18">
        <v>-44</v>
      </c>
      <c r="K7" s="18" t="s">
        <v>112</v>
      </c>
    </row>
    <row r="8" spans="1:11" x14ac:dyDescent="0.8">
      <c r="A8" s="19">
        <v>45752</v>
      </c>
      <c r="B8" s="18" t="s">
        <v>45</v>
      </c>
      <c r="C8" s="18" t="s">
        <v>109</v>
      </c>
      <c r="D8" s="18" t="s">
        <v>99</v>
      </c>
      <c r="E8" s="18" t="s">
        <v>99</v>
      </c>
      <c r="F8" s="18">
        <v>0</v>
      </c>
      <c r="G8" s="18">
        <v>0</v>
      </c>
      <c r="H8" s="18">
        <v>0</v>
      </c>
      <c r="I8" s="18">
        <v>8089</v>
      </c>
      <c r="J8" s="18">
        <v>8089</v>
      </c>
      <c r="K8" s="18" t="s">
        <v>113</v>
      </c>
    </row>
    <row r="9" spans="1:11" x14ac:dyDescent="0.8">
      <c r="A9" s="19">
        <v>45752</v>
      </c>
      <c r="B9" s="18" t="s">
        <v>45</v>
      </c>
      <c r="C9" s="18" t="s">
        <v>46</v>
      </c>
      <c r="D9" s="18" t="s">
        <v>54</v>
      </c>
      <c r="E9" s="18" t="s">
        <v>48</v>
      </c>
      <c r="F9" s="18">
        <v>4255</v>
      </c>
      <c r="G9" s="18">
        <v>-4255</v>
      </c>
      <c r="H9" s="18">
        <v>-467</v>
      </c>
      <c r="I9" s="18">
        <v>0</v>
      </c>
      <c r="J9" s="18">
        <v>-467</v>
      </c>
      <c r="K9" s="18" t="s">
        <v>79</v>
      </c>
    </row>
    <row r="10" spans="1:11" x14ac:dyDescent="0.8">
      <c r="A10" s="19">
        <v>45766</v>
      </c>
      <c r="B10" s="18" t="s">
        <v>45</v>
      </c>
      <c r="C10" s="18" t="s">
        <v>46</v>
      </c>
      <c r="D10" s="18" t="s">
        <v>103</v>
      </c>
      <c r="E10" s="18" t="s">
        <v>91</v>
      </c>
      <c r="F10" s="18">
        <v>12765</v>
      </c>
      <c r="G10" s="18">
        <v>-1606</v>
      </c>
      <c r="H10" s="18">
        <v>-3161</v>
      </c>
      <c r="I10" s="18">
        <v>1465</v>
      </c>
      <c r="J10" s="18">
        <v>9463</v>
      </c>
      <c r="K10" s="18" t="s">
        <v>110</v>
      </c>
    </row>
    <row r="11" spans="1:11" x14ac:dyDescent="0.8">
      <c r="A11" s="19">
        <v>45752</v>
      </c>
      <c r="B11" s="18" t="s">
        <v>45</v>
      </c>
      <c r="C11" s="18" t="s">
        <v>46</v>
      </c>
      <c r="D11" s="18" t="s">
        <v>77</v>
      </c>
      <c r="E11" s="18" t="s">
        <v>48</v>
      </c>
      <c r="F11" s="18">
        <v>4255</v>
      </c>
      <c r="G11" s="18">
        <v>-4255</v>
      </c>
      <c r="H11" s="18">
        <v>-467</v>
      </c>
      <c r="I11" s="18">
        <v>0</v>
      </c>
      <c r="J11" s="18">
        <v>-467</v>
      </c>
      <c r="K11" s="18" t="s">
        <v>79</v>
      </c>
    </row>
    <row r="12" spans="1:11" x14ac:dyDescent="0.8">
      <c r="A12" s="19">
        <v>45753</v>
      </c>
      <c r="B12" s="18" t="s">
        <v>45</v>
      </c>
      <c r="C12" s="18" t="s">
        <v>46</v>
      </c>
      <c r="D12" s="18" t="s">
        <v>74</v>
      </c>
      <c r="E12" s="18" t="s">
        <v>48</v>
      </c>
      <c r="F12" s="18">
        <v>4255</v>
      </c>
      <c r="G12" s="18">
        <v>-4255</v>
      </c>
      <c r="H12" s="18">
        <v>-467</v>
      </c>
      <c r="I12" s="18">
        <v>0</v>
      </c>
      <c r="J12" s="18">
        <v>-467</v>
      </c>
      <c r="K12" s="18" t="s">
        <v>79</v>
      </c>
    </row>
    <row r="13" spans="1:11" x14ac:dyDescent="0.8">
      <c r="A13" s="19">
        <v>45752</v>
      </c>
      <c r="B13" s="18" t="s">
        <v>45</v>
      </c>
      <c r="C13" s="18" t="s">
        <v>46</v>
      </c>
      <c r="D13" s="18" t="s">
        <v>58</v>
      </c>
      <c r="E13" s="18" t="s">
        <v>48</v>
      </c>
      <c r="F13" s="18">
        <v>4255</v>
      </c>
      <c r="G13" s="18">
        <v>-4255</v>
      </c>
      <c r="H13" s="18">
        <v>-467</v>
      </c>
      <c r="I13" s="18">
        <v>0</v>
      </c>
      <c r="J13" s="18">
        <v>-467</v>
      </c>
      <c r="K13" s="18" t="s">
        <v>79</v>
      </c>
    </row>
    <row r="14" spans="1:11" x14ac:dyDescent="0.8">
      <c r="A14" s="19">
        <v>45772</v>
      </c>
      <c r="B14" s="18" t="s">
        <v>45</v>
      </c>
      <c r="C14" s="18" t="s">
        <v>46</v>
      </c>
      <c r="D14" s="18" t="s">
        <v>95</v>
      </c>
      <c r="E14" s="18" t="s">
        <v>91</v>
      </c>
      <c r="F14" s="18">
        <v>4255</v>
      </c>
      <c r="G14" s="18">
        <v>0</v>
      </c>
      <c r="H14" s="18">
        <v>-1199</v>
      </c>
      <c r="I14" s="18">
        <v>378</v>
      </c>
      <c r="J14" s="18">
        <v>3434</v>
      </c>
      <c r="K14" s="18" t="s">
        <v>110</v>
      </c>
    </row>
    <row r="15" spans="1:11" x14ac:dyDescent="0.8">
      <c r="A15" s="19">
        <v>45751</v>
      </c>
      <c r="B15" s="18" t="s">
        <v>45</v>
      </c>
      <c r="C15" s="18" t="s">
        <v>46</v>
      </c>
      <c r="D15" s="18" t="s">
        <v>67</v>
      </c>
      <c r="E15" s="18" t="s">
        <v>48</v>
      </c>
      <c r="F15" s="18">
        <v>4255</v>
      </c>
      <c r="G15" s="18">
        <v>-4255</v>
      </c>
      <c r="H15" s="18">
        <v>-467</v>
      </c>
      <c r="I15" s="18">
        <v>0</v>
      </c>
      <c r="J15" s="18">
        <v>-467</v>
      </c>
      <c r="K15" s="18" t="s">
        <v>79</v>
      </c>
    </row>
    <row r="16" spans="1:11" x14ac:dyDescent="0.8">
      <c r="A16" s="19">
        <v>45756</v>
      </c>
      <c r="B16" s="18" t="s">
        <v>45</v>
      </c>
      <c r="C16" s="18" t="s">
        <v>46</v>
      </c>
      <c r="D16" s="18" t="s">
        <v>106</v>
      </c>
      <c r="E16" s="18" t="s">
        <v>91</v>
      </c>
      <c r="F16" s="18">
        <v>4255</v>
      </c>
      <c r="G16" s="18">
        <v>0</v>
      </c>
      <c r="H16" s="18">
        <v>-1199</v>
      </c>
      <c r="I16" s="18">
        <v>378</v>
      </c>
      <c r="J16" s="18">
        <v>3434</v>
      </c>
      <c r="K16" s="18" t="s">
        <v>110</v>
      </c>
    </row>
    <row r="17" spans="1:11" x14ac:dyDescent="0.8">
      <c r="A17" s="19">
        <v>45771</v>
      </c>
      <c r="B17" s="18" t="s">
        <v>45</v>
      </c>
      <c r="C17" s="18" t="s">
        <v>46</v>
      </c>
      <c r="D17" s="18" t="s">
        <v>96</v>
      </c>
      <c r="E17" s="18" t="s">
        <v>91</v>
      </c>
      <c r="F17" s="18">
        <v>4255</v>
      </c>
      <c r="G17" s="18">
        <v>0</v>
      </c>
      <c r="H17" s="18">
        <v>-1199</v>
      </c>
      <c r="I17" s="18">
        <v>378</v>
      </c>
      <c r="J17" s="18">
        <v>3434</v>
      </c>
      <c r="K17" s="18" t="s">
        <v>110</v>
      </c>
    </row>
    <row r="18" spans="1:11" x14ac:dyDescent="0.8">
      <c r="A18" s="19">
        <v>45767</v>
      </c>
      <c r="B18" s="18" t="s">
        <v>45</v>
      </c>
      <c r="C18" s="18" t="s">
        <v>46</v>
      </c>
      <c r="D18" s="18" t="s">
        <v>102</v>
      </c>
      <c r="E18" s="18" t="s">
        <v>91</v>
      </c>
      <c r="F18" s="18">
        <v>4255</v>
      </c>
      <c r="G18" s="18">
        <v>0</v>
      </c>
      <c r="H18" s="18">
        <v>-1199</v>
      </c>
      <c r="I18" s="18">
        <v>378</v>
      </c>
      <c r="J18" s="18">
        <v>3434</v>
      </c>
      <c r="K18" s="18" t="s">
        <v>110</v>
      </c>
    </row>
    <row r="19" spans="1:11" x14ac:dyDescent="0.8">
      <c r="A19" s="19">
        <v>45751</v>
      </c>
      <c r="B19" s="18" t="s">
        <v>45</v>
      </c>
      <c r="C19" s="18" t="s">
        <v>46</v>
      </c>
      <c r="D19" s="18" t="s">
        <v>64</v>
      </c>
      <c r="E19" s="18" t="s">
        <v>48</v>
      </c>
      <c r="F19" s="18">
        <v>4255</v>
      </c>
      <c r="G19" s="18">
        <v>-4255</v>
      </c>
      <c r="H19" s="18">
        <v>-467</v>
      </c>
      <c r="I19" s="18">
        <v>0</v>
      </c>
      <c r="J19" s="18">
        <v>-467</v>
      </c>
      <c r="K19" s="18" t="s">
        <v>79</v>
      </c>
    </row>
    <row r="20" spans="1:11" x14ac:dyDescent="0.8">
      <c r="A20" s="19">
        <v>45752</v>
      </c>
      <c r="B20" s="18" t="s">
        <v>45</v>
      </c>
      <c r="C20" s="18" t="s">
        <v>46</v>
      </c>
      <c r="D20" s="18" t="s">
        <v>51</v>
      </c>
      <c r="E20" s="18" t="s">
        <v>48</v>
      </c>
      <c r="F20" s="18">
        <v>4255</v>
      </c>
      <c r="G20" s="18">
        <v>-4255</v>
      </c>
      <c r="H20" s="18">
        <v>-467</v>
      </c>
      <c r="I20" s="18">
        <v>0</v>
      </c>
      <c r="J20" s="18">
        <v>-467</v>
      </c>
      <c r="K20" s="18" t="s">
        <v>79</v>
      </c>
    </row>
    <row r="21" spans="1:11" x14ac:dyDescent="0.8">
      <c r="A21" s="19">
        <v>45752</v>
      </c>
      <c r="B21" s="18" t="s">
        <v>45</v>
      </c>
      <c r="C21" s="18" t="s">
        <v>46</v>
      </c>
      <c r="D21" s="18" t="s">
        <v>50</v>
      </c>
      <c r="E21" s="18" t="s">
        <v>48</v>
      </c>
      <c r="F21" s="18">
        <v>4255</v>
      </c>
      <c r="G21" s="18">
        <v>-4255</v>
      </c>
      <c r="H21" s="18">
        <v>-467</v>
      </c>
      <c r="I21" s="18">
        <v>0</v>
      </c>
      <c r="J21" s="18">
        <v>-467</v>
      </c>
      <c r="K21" s="18" t="s">
        <v>79</v>
      </c>
    </row>
    <row r="22" spans="1:11" x14ac:dyDescent="0.8">
      <c r="A22" s="19">
        <v>45754</v>
      </c>
      <c r="B22" s="18" t="s">
        <v>45</v>
      </c>
      <c r="C22" s="18" t="s">
        <v>46</v>
      </c>
      <c r="D22" s="18" t="s">
        <v>72</v>
      </c>
      <c r="E22" s="18" t="s">
        <v>48</v>
      </c>
      <c r="F22" s="18">
        <v>4255</v>
      </c>
      <c r="G22" s="18">
        <v>-4255</v>
      </c>
      <c r="H22" s="18">
        <v>-467</v>
      </c>
      <c r="I22" s="18">
        <v>0</v>
      </c>
      <c r="J22" s="18">
        <v>-467</v>
      </c>
      <c r="K22" s="18" t="s">
        <v>79</v>
      </c>
    </row>
    <row r="23" spans="1:11" x14ac:dyDescent="0.8">
      <c r="A23" s="19">
        <v>45753</v>
      </c>
      <c r="B23" s="18" t="s">
        <v>45</v>
      </c>
      <c r="C23" s="18" t="s">
        <v>46</v>
      </c>
      <c r="D23" s="18" t="s">
        <v>76</v>
      </c>
      <c r="E23" s="18" t="s">
        <v>48</v>
      </c>
      <c r="F23" s="18">
        <v>4255</v>
      </c>
      <c r="G23" s="18">
        <v>-4255</v>
      </c>
      <c r="H23" s="18">
        <v>-467</v>
      </c>
      <c r="I23" s="18">
        <v>0</v>
      </c>
      <c r="J23" s="18">
        <v>-467</v>
      </c>
      <c r="K23" s="18" t="s">
        <v>79</v>
      </c>
    </row>
    <row r="24" spans="1:11" x14ac:dyDescent="0.8">
      <c r="A24" s="19">
        <v>45750</v>
      </c>
      <c r="B24" s="18" t="s">
        <v>45</v>
      </c>
      <c r="C24" s="18" t="s">
        <v>46</v>
      </c>
      <c r="D24" s="18" t="s">
        <v>71</v>
      </c>
      <c r="E24" s="18" t="s">
        <v>48</v>
      </c>
      <c r="F24" s="18">
        <v>4255</v>
      </c>
      <c r="G24" s="18">
        <v>-4255</v>
      </c>
      <c r="H24" s="18">
        <v>-467</v>
      </c>
      <c r="I24" s="18">
        <v>0</v>
      </c>
      <c r="J24" s="18">
        <v>-467</v>
      </c>
      <c r="K24" s="18" t="s">
        <v>79</v>
      </c>
    </row>
    <row r="25" spans="1:11" x14ac:dyDescent="0.8">
      <c r="A25" s="19">
        <v>45764</v>
      </c>
      <c r="B25" s="18" t="s">
        <v>45</v>
      </c>
      <c r="C25" s="18" t="s">
        <v>46</v>
      </c>
      <c r="D25" s="18" t="s">
        <v>104</v>
      </c>
      <c r="E25" s="18" t="s">
        <v>91</v>
      </c>
      <c r="F25" s="18">
        <v>8509</v>
      </c>
      <c r="G25" s="18">
        <v>0</v>
      </c>
      <c r="H25" s="18">
        <v>-2397</v>
      </c>
      <c r="I25" s="18">
        <v>757</v>
      </c>
      <c r="J25" s="18">
        <v>6869</v>
      </c>
      <c r="K25" s="18" t="s">
        <v>110</v>
      </c>
    </row>
    <row r="26" spans="1:11" x14ac:dyDescent="0.8">
      <c r="A26" s="19">
        <v>45772</v>
      </c>
      <c r="B26" s="18" t="s">
        <v>45</v>
      </c>
      <c r="C26" s="18" t="s">
        <v>46</v>
      </c>
      <c r="D26" s="18" t="s">
        <v>93</v>
      </c>
      <c r="E26" s="18" t="s">
        <v>91</v>
      </c>
      <c r="F26" s="18">
        <v>4255</v>
      </c>
      <c r="G26" s="18">
        <v>0</v>
      </c>
      <c r="H26" s="18">
        <v>-1199</v>
      </c>
      <c r="I26" s="18">
        <v>378</v>
      </c>
      <c r="J26" s="18">
        <v>3434</v>
      </c>
      <c r="K26" s="18" t="s">
        <v>110</v>
      </c>
    </row>
    <row r="27" spans="1:11" x14ac:dyDescent="0.8">
      <c r="A27" s="19">
        <v>45763</v>
      </c>
      <c r="B27" s="18" t="s">
        <v>45</v>
      </c>
      <c r="C27" s="18" t="s">
        <v>46</v>
      </c>
      <c r="D27" s="18" t="s">
        <v>105</v>
      </c>
      <c r="E27" s="18" t="s">
        <v>91</v>
      </c>
      <c r="F27" s="18">
        <v>4255</v>
      </c>
      <c r="G27" s="18">
        <v>0</v>
      </c>
      <c r="H27" s="18">
        <v>-434</v>
      </c>
      <c r="I27" s="18">
        <v>378</v>
      </c>
      <c r="J27" s="18">
        <v>4199</v>
      </c>
      <c r="K27" s="18" t="s">
        <v>110</v>
      </c>
    </row>
    <row r="28" spans="1:11" x14ac:dyDescent="0.8">
      <c r="A28" s="19">
        <v>45752</v>
      </c>
      <c r="B28" s="18" t="s">
        <v>45</v>
      </c>
      <c r="C28" s="18" t="s">
        <v>46</v>
      </c>
      <c r="D28" s="18" t="s">
        <v>60</v>
      </c>
      <c r="E28" s="18" t="s">
        <v>48</v>
      </c>
      <c r="F28" s="18">
        <v>4255</v>
      </c>
      <c r="G28" s="18">
        <v>-4255</v>
      </c>
      <c r="H28" s="18">
        <v>-467</v>
      </c>
      <c r="I28" s="18">
        <v>0</v>
      </c>
      <c r="J28" s="18">
        <v>-467</v>
      </c>
      <c r="K28" s="18" t="s">
        <v>79</v>
      </c>
    </row>
    <row r="29" spans="1:11" x14ac:dyDescent="0.8">
      <c r="A29" s="19">
        <v>45752</v>
      </c>
      <c r="B29" s="18" t="s">
        <v>45</v>
      </c>
      <c r="C29" s="18" t="s">
        <v>46</v>
      </c>
      <c r="D29" s="18" t="s">
        <v>56</v>
      </c>
      <c r="E29" s="18" t="s">
        <v>48</v>
      </c>
      <c r="F29" s="18">
        <v>4255</v>
      </c>
      <c r="G29" s="18">
        <v>-4255</v>
      </c>
      <c r="H29" s="18">
        <v>-467</v>
      </c>
      <c r="I29" s="18">
        <v>0</v>
      </c>
      <c r="J29" s="18">
        <v>-467</v>
      </c>
      <c r="K29" s="18" t="s">
        <v>79</v>
      </c>
    </row>
    <row r="30" spans="1:11" x14ac:dyDescent="0.8">
      <c r="A30" s="19">
        <v>45751</v>
      </c>
      <c r="B30" s="18" t="s">
        <v>45</v>
      </c>
      <c r="C30" s="18" t="s">
        <v>46</v>
      </c>
      <c r="D30" s="18" t="s">
        <v>63</v>
      </c>
      <c r="E30" s="18" t="s">
        <v>48</v>
      </c>
      <c r="F30" s="18">
        <v>4255</v>
      </c>
      <c r="G30" s="18">
        <v>-4255</v>
      </c>
      <c r="H30" s="18">
        <v>-467</v>
      </c>
      <c r="I30" s="18">
        <v>0</v>
      </c>
      <c r="J30" s="18">
        <v>-467</v>
      </c>
      <c r="K30" s="18" t="s">
        <v>79</v>
      </c>
    </row>
    <row r="31" spans="1:11" x14ac:dyDescent="0.8">
      <c r="A31" s="19">
        <v>45751</v>
      </c>
      <c r="B31" s="18" t="s">
        <v>45</v>
      </c>
      <c r="C31" s="18" t="s">
        <v>46</v>
      </c>
      <c r="D31" s="18" t="s">
        <v>66</v>
      </c>
      <c r="E31" s="18" t="s">
        <v>48</v>
      </c>
      <c r="F31" s="18">
        <v>4255</v>
      </c>
      <c r="G31" s="18">
        <v>-4255</v>
      </c>
      <c r="H31" s="18">
        <v>-467</v>
      </c>
      <c r="I31" s="18">
        <v>0</v>
      </c>
      <c r="J31" s="18">
        <v>-467</v>
      </c>
      <c r="K31" s="18" t="s">
        <v>79</v>
      </c>
    </row>
    <row r="32" spans="1:11" x14ac:dyDescent="0.8">
      <c r="A32" s="19">
        <v>45752</v>
      </c>
      <c r="B32" s="18" t="s">
        <v>45</v>
      </c>
      <c r="C32" s="18" t="s">
        <v>46</v>
      </c>
      <c r="D32" s="18" t="s">
        <v>55</v>
      </c>
      <c r="E32" s="18" t="s">
        <v>48</v>
      </c>
      <c r="F32" s="18">
        <v>4255</v>
      </c>
      <c r="G32" s="18">
        <v>-4255</v>
      </c>
      <c r="H32" s="18">
        <v>-467</v>
      </c>
      <c r="I32" s="18">
        <v>0</v>
      </c>
      <c r="J32" s="18">
        <v>-467</v>
      </c>
      <c r="K32" s="18" t="s">
        <v>79</v>
      </c>
    </row>
    <row r="33" spans="1:11" x14ac:dyDescent="0.8">
      <c r="A33" s="19">
        <v>45771</v>
      </c>
      <c r="B33" s="18" t="s">
        <v>45</v>
      </c>
      <c r="C33" s="18" t="s">
        <v>46</v>
      </c>
      <c r="D33" s="18" t="s">
        <v>97</v>
      </c>
      <c r="E33" s="18" t="s">
        <v>91</v>
      </c>
      <c r="F33" s="18">
        <v>4255</v>
      </c>
      <c r="G33" s="18">
        <v>0</v>
      </c>
      <c r="H33" s="18">
        <v>-1199</v>
      </c>
      <c r="I33" s="18">
        <v>378</v>
      </c>
      <c r="J33" s="18">
        <v>3434</v>
      </c>
      <c r="K33" s="18" t="s">
        <v>110</v>
      </c>
    </row>
    <row r="34" spans="1:11" x14ac:dyDescent="0.8">
      <c r="A34" s="19">
        <v>45751</v>
      </c>
      <c r="B34" s="18" t="s">
        <v>45</v>
      </c>
      <c r="C34" s="18" t="s">
        <v>46</v>
      </c>
      <c r="D34" s="18" t="s">
        <v>68</v>
      </c>
      <c r="E34" s="18" t="s">
        <v>48</v>
      </c>
      <c r="F34" s="18">
        <v>4255</v>
      </c>
      <c r="G34" s="18">
        <v>-4255</v>
      </c>
      <c r="H34" s="18">
        <v>-467</v>
      </c>
      <c r="I34" s="18">
        <v>0</v>
      </c>
      <c r="J34" s="18">
        <v>-467</v>
      </c>
      <c r="K34" s="18" t="s">
        <v>79</v>
      </c>
    </row>
    <row r="35" spans="1:11" x14ac:dyDescent="0.8">
      <c r="A35" s="19">
        <v>45752</v>
      </c>
      <c r="B35" s="18" t="s">
        <v>45</v>
      </c>
      <c r="C35" s="18" t="s">
        <v>46</v>
      </c>
      <c r="D35" s="18" t="s">
        <v>53</v>
      </c>
      <c r="E35" s="18" t="s">
        <v>48</v>
      </c>
      <c r="F35" s="18">
        <v>4255</v>
      </c>
      <c r="G35" s="18">
        <v>-4255</v>
      </c>
      <c r="H35" s="18">
        <v>-467</v>
      </c>
      <c r="I35" s="18">
        <v>0</v>
      </c>
      <c r="J35" s="18">
        <v>-467</v>
      </c>
      <c r="K35" s="18" t="s">
        <v>79</v>
      </c>
    </row>
    <row r="36" spans="1:11" x14ac:dyDescent="0.8">
      <c r="A36" s="19">
        <v>45752</v>
      </c>
      <c r="B36" s="18" t="s">
        <v>45</v>
      </c>
      <c r="C36" s="18" t="s">
        <v>46</v>
      </c>
      <c r="D36" s="18" t="s">
        <v>57</v>
      </c>
      <c r="E36" s="18" t="s">
        <v>48</v>
      </c>
      <c r="F36" s="18">
        <v>4255</v>
      </c>
      <c r="G36" s="18">
        <v>-4255</v>
      </c>
      <c r="H36" s="18">
        <v>-467</v>
      </c>
      <c r="I36" s="18">
        <v>0</v>
      </c>
      <c r="J36" s="18">
        <v>-467</v>
      </c>
      <c r="K36" s="18" t="s">
        <v>79</v>
      </c>
    </row>
    <row r="37" spans="1:11" x14ac:dyDescent="0.8">
      <c r="A37" s="19">
        <v>45777</v>
      </c>
      <c r="B37" s="18" t="s">
        <v>45</v>
      </c>
      <c r="C37" s="18" t="s">
        <v>46</v>
      </c>
      <c r="D37" s="18" t="s">
        <v>90</v>
      </c>
      <c r="E37" s="18" t="s">
        <v>91</v>
      </c>
      <c r="F37" s="18">
        <v>4255</v>
      </c>
      <c r="G37" s="18">
        <v>0</v>
      </c>
      <c r="H37" s="18">
        <v>-1199</v>
      </c>
      <c r="I37" s="18">
        <v>378</v>
      </c>
      <c r="J37" s="18">
        <v>3434</v>
      </c>
      <c r="K37" s="18" t="s">
        <v>110</v>
      </c>
    </row>
    <row r="38" spans="1:11" x14ac:dyDescent="0.8">
      <c r="A38" s="19">
        <v>45753</v>
      </c>
      <c r="B38" s="18" t="s">
        <v>45</v>
      </c>
      <c r="C38" s="18" t="s">
        <v>46</v>
      </c>
      <c r="D38" s="18" t="s">
        <v>73</v>
      </c>
      <c r="E38" s="18" t="s">
        <v>48</v>
      </c>
      <c r="F38" s="18">
        <v>4255</v>
      </c>
      <c r="G38" s="18">
        <v>-4255</v>
      </c>
      <c r="H38" s="18">
        <v>-467</v>
      </c>
      <c r="I38" s="18">
        <v>0</v>
      </c>
      <c r="J38" s="18">
        <v>-467</v>
      </c>
      <c r="K38" s="18" t="s">
        <v>79</v>
      </c>
    </row>
    <row r="39" spans="1:11" x14ac:dyDescent="0.8">
      <c r="A39" s="19">
        <v>45753</v>
      </c>
      <c r="B39" s="18" t="s">
        <v>45</v>
      </c>
      <c r="C39" s="18" t="s">
        <v>46</v>
      </c>
      <c r="D39" s="18" t="s">
        <v>75</v>
      </c>
      <c r="E39" s="18" t="s">
        <v>48</v>
      </c>
      <c r="F39" s="18">
        <v>4255</v>
      </c>
      <c r="G39" s="18">
        <v>-4255</v>
      </c>
      <c r="H39" s="18">
        <v>-467</v>
      </c>
      <c r="I39" s="18">
        <v>0</v>
      </c>
      <c r="J39" s="18">
        <v>-467</v>
      </c>
      <c r="K39" s="18" t="s">
        <v>79</v>
      </c>
    </row>
    <row r="40" spans="1:11" x14ac:dyDescent="0.8">
      <c r="A40" s="19">
        <v>45752</v>
      </c>
      <c r="B40" s="18" t="s">
        <v>45</v>
      </c>
      <c r="C40" s="18" t="s">
        <v>46</v>
      </c>
      <c r="D40" s="18" t="s">
        <v>47</v>
      </c>
      <c r="E40" s="18" t="s">
        <v>48</v>
      </c>
      <c r="F40" s="18">
        <v>4255</v>
      </c>
      <c r="G40" s="18">
        <v>-4255</v>
      </c>
      <c r="H40" s="18">
        <v>-467</v>
      </c>
      <c r="I40" s="18">
        <v>0</v>
      </c>
      <c r="J40" s="18">
        <v>-467</v>
      </c>
      <c r="K40" s="18" t="s">
        <v>79</v>
      </c>
    </row>
    <row r="41" spans="1:11" x14ac:dyDescent="0.8">
      <c r="A41" s="19">
        <v>45772</v>
      </c>
      <c r="B41" s="18" t="s">
        <v>45</v>
      </c>
      <c r="C41" s="18" t="s">
        <v>46</v>
      </c>
      <c r="D41" s="18" t="s">
        <v>94</v>
      </c>
      <c r="E41" s="18" t="s">
        <v>91</v>
      </c>
      <c r="F41" s="18">
        <v>4255</v>
      </c>
      <c r="G41" s="18">
        <v>-418</v>
      </c>
      <c r="H41" s="18">
        <v>-1199</v>
      </c>
      <c r="I41" s="18">
        <v>796</v>
      </c>
      <c r="J41" s="18">
        <v>3434</v>
      </c>
      <c r="K41" s="18" t="s">
        <v>110</v>
      </c>
    </row>
    <row r="42" spans="1:11" x14ac:dyDescent="0.8">
      <c r="A42" s="19">
        <v>45752</v>
      </c>
      <c r="B42" s="18" t="s">
        <v>45</v>
      </c>
      <c r="C42" s="18" t="s">
        <v>46</v>
      </c>
      <c r="D42" s="18" t="s">
        <v>52</v>
      </c>
      <c r="E42" s="18" t="s">
        <v>48</v>
      </c>
      <c r="F42" s="18">
        <v>4255</v>
      </c>
      <c r="G42" s="18">
        <v>-4255</v>
      </c>
      <c r="H42" s="18">
        <v>-467</v>
      </c>
      <c r="I42" s="18">
        <v>0</v>
      </c>
      <c r="J42" s="18">
        <v>-467</v>
      </c>
      <c r="K42" s="18" t="s">
        <v>79</v>
      </c>
    </row>
    <row r="43" spans="1:11" x14ac:dyDescent="0.8">
      <c r="A43" s="19">
        <v>45752</v>
      </c>
      <c r="B43" s="18" t="s">
        <v>45</v>
      </c>
      <c r="C43" s="18" t="s">
        <v>46</v>
      </c>
      <c r="D43" s="18" t="s">
        <v>49</v>
      </c>
      <c r="E43" s="18" t="s">
        <v>48</v>
      </c>
      <c r="F43" s="18">
        <v>4255</v>
      </c>
      <c r="G43" s="18">
        <v>-4255</v>
      </c>
      <c r="H43" s="18">
        <v>-467</v>
      </c>
      <c r="I43" s="18">
        <v>0</v>
      </c>
      <c r="J43" s="18">
        <v>-467</v>
      </c>
      <c r="K43" s="18" t="s">
        <v>79</v>
      </c>
    </row>
    <row r="44" spans="1:11" x14ac:dyDescent="0.8">
      <c r="A44" s="19">
        <v>45751</v>
      </c>
      <c r="B44" s="18" t="s">
        <v>45</v>
      </c>
      <c r="C44" s="18" t="s">
        <v>46</v>
      </c>
      <c r="D44" s="18" t="s">
        <v>69</v>
      </c>
      <c r="E44" s="18" t="s">
        <v>48</v>
      </c>
      <c r="F44" s="18">
        <v>4255</v>
      </c>
      <c r="G44" s="18">
        <v>-4255</v>
      </c>
      <c r="H44" s="18">
        <v>-467</v>
      </c>
      <c r="I44" s="18">
        <v>0</v>
      </c>
      <c r="J44" s="18">
        <v>-467</v>
      </c>
      <c r="K44" s="18" t="s">
        <v>79</v>
      </c>
    </row>
    <row r="45" spans="1:11" x14ac:dyDescent="0.8">
      <c r="A45" s="19">
        <v>45752</v>
      </c>
      <c r="B45" s="18" t="s">
        <v>45</v>
      </c>
      <c r="C45" s="18" t="s">
        <v>46</v>
      </c>
      <c r="D45" s="18" t="s">
        <v>59</v>
      </c>
      <c r="E45" s="18" t="s">
        <v>48</v>
      </c>
      <c r="F45" s="18">
        <v>4255</v>
      </c>
      <c r="G45" s="18">
        <v>-4255</v>
      </c>
      <c r="H45" s="18">
        <v>-467</v>
      </c>
      <c r="I45" s="18">
        <v>0</v>
      </c>
      <c r="J45" s="18">
        <v>-467</v>
      </c>
      <c r="K45" s="18" t="s">
        <v>79</v>
      </c>
    </row>
    <row r="46" spans="1:11" x14ac:dyDescent="0.8">
      <c r="A46" s="19">
        <v>45751</v>
      </c>
      <c r="B46" s="18" t="s">
        <v>45</v>
      </c>
      <c r="C46" s="18" t="s">
        <v>46</v>
      </c>
      <c r="D46" s="18" t="s">
        <v>62</v>
      </c>
      <c r="E46" s="18" t="s">
        <v>48</v>
      </c>
      <c r="F46" s="18">
        <v>4255</v>
      </c>
      <c r="G46" s="18">
        <v>-4255</v>
      </c>
      <c r="H46" s="18">
        <v>-467</v>
      </c>
      <c r="I46" s="18">
        <v>0</v>
      </c>
      <c r="J46" s="18">
        <v>-467</v>
      </c>
      <c r="K46" s="18" t="s">
        <v>79</v>
      </c>
    </row>
    <row r="47" spans="1:11" x14ac:dyDescent="0.8">
      <c r="A47" s="19">
        <v>45751</v>
      </c>
      <c r="B47" s="18" t="s">
        <v>45</v>
      </c>
      <c r="C47" s="18" t="s">
        <v>46</v>
      </c>
      <c r="D47" s="18" t="s">
        <v>65</v>
      </c>
      <c r="E47" s="18" t="s">
        <v>48</v>
      </c>
      <c r="F47" s="18">
        <v>4255</v>
      </c>
      <c r="G47" s="18">
        <v>-4255</v>
      </c>
      <c r="H47" s="18">
        <v>-467</v>
      </c>
      <c r="I47" s="18">
        <v>0</v>
      </c>
      <c r="J47" s="18">
        <v>-467</v>
      </c>
      <c r="K47" s="18" t="s">
        <v>79</v>
      </c>
    </row>
    <row r="48" spans="1:11" x14ac:dyDescent="0.8">
      <c r="A48" s="19">
        <v>45751</v>
      </c>
      <c r="B48" s="18" t="s">
        <v>45</v>
      </c>
      <c r="C48" s="18" t="s">
        <v>46</v>
      </c>
      <c r="D48" s="18" t="s">
        <v>61</v>
      </c>
      <c r="E48" s="18" t="s">
        <v>48</v>
      </c>
      <c r="F48" s="18">
        <v>4255</v>
      </c>
      <c r="G48" s="18">
        <v>-4255</v>
      </c>
      <c r="H48" s="18">
        <v>-467</v>
      </c>
      <c r="I48" s="18">
        <v>0</v>
      </c>
      <c r="J48" s="18">
        <v>-467</v>
      </c>
      <c r="K48" s="18" t="s">
        <v>79</v>
      </c>
    </row>
    <row r="49" spans="1:11" x14ac:dyDescent="0.8">
      <c r="A49" s="19">
        <v>45750</v>
      </c>
      <c r="B49" s="18" t="s">
        <v>45</v>
      </c>
      <c r="C49" s="18" t="s">
        <v>46</v>
      </c>
      <c r="D49" s="18" t="s">
        <v>70</v>
      </c>
      <c r="E49" s="18" t="s">
        <v>48</v>
      </c>
      <c r="F49" s="18">
        <v>4255</v>
      </c>
      <c r="G49" s="18">
        <v>-4255</v>
      </c>
      <c r="H49" s="18">
        <v>-467</v>
      </c>
      <c r="I49" s="18">
        <v>0</v>
      </c>
      <c r="J49" s="18">
        <v>-467</v>
      </c>
      <c r="K49" s="18" t="s">
        <v>79</v>
      </c>
    </row>
    <row r="50" spans="1:11" x14ac:dyDescent="0.8">
      <c r="A50" s="19">
        <v>45774</v>
      </c>
      <c r="B50" s="18" t="s">
        <v>45</v>
      </c>
      <c r="C50" s="18" t="s">
        <v>46</v>
      </c>
      <c r="D50" s="18" t="s">
        <v>92</v>
      </c>
      <c r="E50" s="18" t="s">
        <v>91</v>
      </c>
      <c r="F50" s="18">
        <v>4255</v>
      </c>
      <c r="G50" s="18">
        <v>0</v>
      </c>
      <c r="H50" s="18">
        <v>-1199</v>
      </c>
      <c r="I50" s="18">
        <v>378</v>
      </c>
      <c r="J50" s="18">
        <v>3434</v>
      </c>
      <c r="K50" s="18" t="s">
        <v>110</v>
      </c>
    </row>
    <row r="51" spans="1:11" x14ac:dyDescent="0.8">
      <c r="A51" s="18" t="s">
        <v>110</v>
      </c>
      <c r="B51" s="18"/>
      <c r="C51" s="18"/>
      <c r="D51" s="18"/>
      <c r="E51" s="18"/>
      <c r="F51" s="18">
        <f>SUMIF(K:K,A51,F:F)</f>
        <v>63824</v>
      </c>
      <c r="G51" s="18">
        <f>SUMIF(K:K,A51,G:G)</f>
        <v>-2024</v>
      </c>
      <c r="H51" s="18">
        <f>SUMIF(K:K,A51,H:H)</f>
        <v>-16783</v>
      </c>
      <c r="I51" s="18">
        <f>SUMIF(K:K,A51,I:I)</f>
        <v>6420</v>
      </c>
      <c r="J51" s="18">
        <f>SUMIF(K:K,A51,J:J)</f>
        <v>51437</v>
      </c>
      <c r="K51" s="18" t="s">
        <v>114</v>
      </c>
    </row>
    <row r="52" spans="1:11" x14ac:dyDescent="0.8">
      <c r="A52" s="18" t="s">
        <v>112</v>
      </c>
      <c r="B52" s="18"/>
      <c r="C52" s="18"/>
      <c r="D52" s="18"/>
      <c r="E52" s="18"/>
      <c r="F52" s="18">
        <f>SUMIF(K:K,A52,F:F)</f>
        <v>0</v>
      </c>
      <c r="G52" s="18">
        <f>SUMIF(K:K,A52,G:G)</f>
        <v>0</v>
      </c>
      <c r="H52" s="18">
        <f>SUMIF(K:K,A52,H:H)</f>
        <v>-11246</v>
      </c>
      <c r="I52" s="18">
        <f>SUMIF(K:K,A52,I:I)</f>
        <v>0</v>
      </c>
      <c r="J52" s="18">
        <f>SUMIF(K:K,A52,J:J)</f>
        <v>-11246</v>
      </c>
      <c r="K52" s="18" t="s">
        <v>114</v>
      </c>
    </row>
    <row r="53" spans="1:11" x14ac:dyDescent="0.8">
      <c r="A53" s="18" t="s">
        <v>16</v>
      </c>
      <c r="B53" s="18"/>
      <c r="C53" s="18"/>
      <c r="D53" s="18"/>
      <c r="E53" s="18"/>
      <c r="F53" s="18">
        <f>SUM(F51:F52)</f>
        <v>63824</v>
      </c>
      <c r="G53" s="18">
        <f>SUM(G51:G52)</f>
        <v>-2024</v>
      </c>
      <c r="H53" s="18">
        <f>SUM(H51:H52)</f>
        <v>-28029</v>
      </c>
      <c r="I53" s="18">
        <f>SUM(I51:I52)</f>
        <v>6420</v>
      </c>
      <c r="J53" s="18">
        <f>SUM(J51:J52)</f>
        <v>40191</v>
      </c>
      <c r="K53" s="18" t="s">
        <v>16</v>
      </c>
    </row>
    <row r="54" spans="1:11" x14ac:dyDescent="0.8">
      <c r="E54" t="s">
        <v>119</v>
      </c>
      <c r="G54">
        <f>G51/1.1</f>
        <v>-1839.9999999999998</v>
      </c>
      <c r="H54">
        <f>H51/1.1</f>
        <v>-15257.272727272726</v>
      </c>
      <c r="I54">
        <f>I51/1.1</f>
        <v>5836.363636363636</v>
      </c>
      <c r="J54">
        <f>J53/1.1</f>
        <v>36537.272727272728</v>
      </c>
    </row>
    <row r="55" spans="1:11" x14ac:dyDescent="0.8">
      <c r="A55" t="s">
        <v>111</v>
      </c>
      <c r="H55">
        <f>H52/1.1</f>
        <v>-10223.636363636362</v>
      </c>
    </row>
    <row r="56" spans="1:11" x14ac:dyDescent="0.8">
      <c r="A56" s="10">
        <v>45755</v>
      </c>
      <c r="B56" t="s">
        <v>45</v>
      </c>
      <c r="C56" t="s">
        <v>46</v>
      </c>
      <c r="D56" t="s">
        <v>108</v>
      </c>
      <c r="E56" t="s">
        <v>91</v>
      </c>
      <c r="F56">
        <v>4254</v>
      </c>
      <c r="G56">
        <v>-364</v>
      </c>
      <c r="H56">
        <v>-1199</v>
      </c>
      <c r="I56">
        <v>743</v>
      </c>
      <c r="J56">
        <v>3434</v>
      </c>
    </row>
    <row r="57" spans="1:11" x14ac:dyDescent="0.8">
      <c r="A57" s="10">
        <v>45747</v>
      </c>
      <c r="B57" t="s">
        <v>78</v>
      </c>
      <c r="C57" t="s">
        <v>46</v>
      </c>
      <c r="D57" t="s">
        <v>108</v>
      </c>
      <c r="E57" t="s">
        <v>91</v>
      </c>
      <c r="F57">
        <v>4254</v>
      </c>
      <c r="G57">
        <v>-364</v>
      </c>
      <c r="H57">
        <v>-1199</v>
      </c>
      <c r="I57">
        <v>743</v>
      </c>
      <c r="J57">
        <v>3434</v>
      </c>
    </row>
    <row r="58" spans="1:11" x14ac:dyDescent="0.8">
      <c r="A58" t="s">
        <v>118</v>
      </c>
      <c r="F58">
        <v>127650</v>
      </c>
      <c r="G58">
        <v>-127650</v>
      </c>
      <c r="H58">
        <v>-14010</v>
      </c>
      <c r="I58">
        <v>0</v>
      </c>
      <c r="J58">
        <v>-14010</v>
      </c>
      <c r="K58" t="s">
        <v>114</v>
      </c>
    </row>
  </sheetData>
  <autoFilter ref="A1:K53" xr:uid="{B4D9AF07-50AC-7F44-B074-C4820E76FF34}"/>
  <sortState xmlns:xlrd2="http://schemas.microsoft.com/office/spreadsheetml/2017/richdata2" ref="A2:K50">
    <sortCondition ref="D2:D50"/>
  </sortState>
  <phoneticPr fontId="1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workbookViewId="0">
      <selection activeCell="I24" sqref="I24"/>
    </sheetView>
  </sheetViews>
  <sheetFormatPr defaultColWidth="10.6640625" defaultRowHeight="19.899999999999999" x14ac:dyDescent="0.8"/>
  <cols>
    <col min="13" max="13" width="10.71875" style="9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9" t="s">
        <v>19</v>
      </c>
    </row>
    <row r="2" spans="1:13" x14ac:dyDescent="0.8">
      <c r="A2" s="10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9">
        <f t="shared" ref="M2:M17" si="0">I2/K2</f>
        <v>3.7443402784301201E-2</v>
      </c>
    </row>
    <row r="3" spans="1:13" x14ac:dyDescent="0.8">
      <c r="A3" s="10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9">
        <f t="shared" si="0"/>
        <v>3.6885245901639344E-2</v>
      </c>
    </row>
    <row r="4" spans="1:13" x14ac:dyDescent="0.8">
      <c r="A4" s="10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9">
        <f t="shared" si="0"/>
        <v>3.683953584438019E-2</v>
      </c>
    </row>
    <row r="5" spans="1:13" x14ac:dyDescent="0.8">
      <c r="A5" s="10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9">
        <f t="shared" si="0"/>
        <v>3.6825461593389779E-2</v>
      </c>
    </row>
    <row r="6" spans="1:13" x14ac:dyDescent="0.8">
      <c r="A6" s="10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9">
        <f t="shared" si="0"/>
        <v>3.718177377395572E-2</v>
      </c>
    </row>
    <row r="7" spans="1:13" x14ac:dyDescent="0.8">
      <c r="A7" s="10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9">
        <f t="shared" si="0"/>
        <v>3.7838694971358347E-2</v>
      </c>
    </row>
    <row r="8" spans="1:13" x14ac:dyDescent="0.8">
      <c r="A8" s="10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9">
        <f t="shared" si="0"/>
        <v>3.6861506055818852E-2</v>
      </c>
    </row>
    <row r="9" spans="1:13" x14ac:dyDescent="0.8">
      <c r="A9" s="10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9">
        <f t="shared" si="0"/>
        <v>3.6818851251840944E-2</v>
      </c>
    </row>
    <row r="10" spans="1:13" x14ac:dyDescent="0.8">
      <c r="A10" s="10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9">
        <f t="shared" si="0"/>
        <v>3.6831401917427932E-2</v>
      </c>
    </row>
    <row r="11" spans="1:13" x14ac:dyDescent="0.8">
      <c r="A11" s="10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9">
        <f t="shared" si="0"/>
        <v>3.6838729468194872E-2</v>
      </c>
    </row>
    <row r="12" spans="1:13" x14ac:dyDescent="0.8">
      <c r="A12" s="10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9">
        <f t="shared" si="0"/>
        <v>3.7946428571428568E-2</v>
      </c>
    </row>
    <row r="13" spans="1:13" x14ac:dyDescent="0.8">
      <c r="A13" s="10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9">
        <f t="shared" si="0"/>
        <v>3.6885245901639344E-2</v>
      </c>
    </row>
    <row r="14" spans="1:13" x14ac:dyDescent="0.8">
      <c r="A14" s="10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9">
        <f t="shared" si="0"/>
        <v>3.7091401795291593E-2</v>
      </c>
    </row>
    <row r="15" spans="1:13" x14ac:dyDescent="0.8">
      <c r="A15" s="10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9">
        <f t="shared" si="0"/>
        <v>3.6808633648101753E-2</v>
      </c>
    </row>
    <row r="16" spans="1:13" x14ac:dyDescent="0.8">
      <c r="A16" s="10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9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9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レヴェニューシェア資料</vt:lpstr>
      <vt:lpstr>Amazon詳細</vt:lpstr>
      <vt:lpstr>shopify手数料試算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2025-03-03T03:43:09Z</cp:lastPrinted>
  <dcterms:created xsi:type="dcterms:W3CDTF">2025-01-24T08:40:17Z</dcterms:created>
  <dcterms:modified xsi:type="dcterms:W3CDTF">2026-01-21T03:53:35Z</dcterms:modified>
</cp:coreProperties>
</file>