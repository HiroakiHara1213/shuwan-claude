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6518c6b5c05abe/デスクトップ/酒碗/"/>
    </mc:Choice>
  </mc:AlternateContent>
  <xr:revisionPtr revIDLastSave="0" documentId="8_{0429CFD6-5660-4F0B-BDDF-B67BF84B07A6}" xr6:coauthVersionLast="47" xr6:coauthVersionMax="47" xr10:uidLastSave="{00000000-0000-0000-0000-000000000000}"/>
  <bookViews>
    <workbookView xWindow="-98" yWindow="-98" windowWidth="21795" windowHeight="14235" xr2:uid="{9516FBB4-3A9B-6D45-85D3-EE0B367FE07A}"/>
  </bookViews>
  <sheets>
    <sheet name="レヴェニューシェア資料" sheetId="2" r:id="rId1"/>
    <sheet name="shopify手数料試算" sheetId="3" r:id="rId2"/>
  </sheets>
  <definedNames>
    <definedName name="payment_transactions_export_1__2" localSheetId="1">shopify手数料試算!#REF!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5" i="2" l="1"/>
  <c r="B24" i="2"/>
  <c r="C17" i="2"/>
  <c r="B9" i="2"/>
  <c r="D13" i="2"/>
  <c r="B26" i="2" s="1"/>
  <c r="C6" i="2"/>
  <c r="C18" i="2" s="1"/>
  <c r="D5" i="2"/>
  <c r="D3" i="2"/>
  <c r="D20" i="2" s="1"/>
  <c r="D4" i="2" l="1"/>
  <c r="C19" i="2" l="1"/>
  <c r="I17" i="3"/>
  <c r="M17" i="3" s="1"/>
  <c r="K17" i="3"/>
  <c r="M16" i="3"/>
  <c r="M15" i="3"/>
  <c r="M14" i="3"/>
  <c r="M13" i="3"/>
  <c r="M12" i="3"/>
  <c r="M11" i="3"/>
  <c r="M10" i="3"/>
  <c r="M9" i="3"/>
  <c r="M8" i="3"/>
  <c r="M7" i="3"/>
  <c r="M6" i="3"/>
  <c r="M5" i="3"/>
  <c r="M4" i="3"/>
  <c r="M3" i="3"/>
  <c r="M2" i="3"/>
  <c r="B19" i="2"/>
  <c r="D17" i="2" l="1"/>
  <c r="D6" i="2"/>
  <c r="D18" i="2"/>
  <c r="D19" i="2"/>
  <c r="D21" i="2" l="1"/>
  <c r="B27" i="2" l="1"/>
  <c r="B28" i="2" s="1"/>
  <c r="B29" i="2" l="1"/>
</calcChain>
</file>

<file path=xl/sharedStrings.xml><?xml version="1.0" encoding="utf-8"?>
<sst xmlns="http://schemas.openxmlformats.org/spreadsheetml/2006/main" count="86" uniqueCount="48">
  <si>
    <t>限界利益</t>
    <rPh sb="0" eb="4">
      <t xml:space="preserve">ゲンカイリエキ </t>
    </rPh>
    <phoneticPr fontId="1"/>
  </si>
  <si>
    <t>シンクロ(60%)</t>
    <phoneticPr fontId="1"/>
  </si>
  <si>
    <t>項目</t>
    <rPh sb="0" eb="2">
      <t xml:space="preserve">コウモク </t>
    </rPh>
    <phoneticPr fontId="1"/>
  </si>
  <si>
    <t>数量</t>
    <rPh sb="0" eb="2">
      <t xml:space="preserve">スウリョウ </t>
    </rPh>
    <phoneticPr fontId="1"/>
  </si>
  <si>
    <t>変動費</t>
    <rPh sb="0" eb="3">
      <t xml:space="preserve">ヘンドウヒ </t>
    </rPh>
    <phoneticPr fontId="1"/>
  </si>
  <si>
    <t>単価</t>
    <rPh sb="0" eb="2">
      <t xml:space="preserve">タンカ </t>
    </rPh>
    <phoneticPr fontId="1"/>
  </si>
  <si>
    <t>箱</t>
    <rPh sb="0" eb="1">
      <t xml:space="preserve">ハコ </t>
    </rPh>
    <phoneticPr fontId="1"/>
  </si>
  <si>
    <t>作家ロイヤリティ</t>
    <rPh sb="0" eb="2">
      <t xml:space="preserve">サッカ </t>
    </rPh>
    <phoneticPr fontId="1"/>
  </si>
  <si>
    <t>金額</t>
    <rPh sb="0" eb="2">
      <t xml:space="preserve">キンガク </t>
    </rPh>
    <phoneticPr fontId="1"/>
  </si>
  <si>
    <t>SHUWAN原価</t>
    <rPh sb="0" eb="2">
      <t xml:space="preserve">ゲンカ </t>
    </rPh>
    <phoneticPr fontId="1"/>
  </si>
  <si>
    <t>対象売上金額合計</t>
    <rPh sb="0" eb="2">
      <t xml:space="preserve">タイショウ </t>
    </rPh>
    <rPh sb="2" eb="4">
      <t xml:space="preserve">ウリアゲ </t>
    </rPh>
    <rPh sb="4" eb="6">
      <t xml:space="preserve">キンガク </t>
    </rPh>
    <rPh sb="6" eb="8">
      <t xml:space="preserve">ゴウケイ </t>
    </rPh>
    <phoneticPr fontId="1"/>
  </si>
  <si>
    <t>変動費合計</t>
    <rPh sb="0" eb="3">
      <t xml:space="preserve">ヘンドウヒ </t>
    </rPh>
    <rPh sb="3" eb="5">
      <t xml:space="preserve">ゴウケイ </t>
    </rPh>
    <phoneticPr fontId="1"/>
  </si>
  <si>
    <t>住吉酒販(40%)</t>
    <rPh sb="0" eb="4">
      <t xml:space="preserve">スミヨシシュハン </t>
    </rPh>
    <phoneticPr fontId="1"/>
  </si>
  <si>
    <t>売上</t>
    <rPh sb="0" eb="2">
      <t xml:space="preserve">ウリアゲ </t>
    </rPh>
    <phoneticPr fontId="1"/>
  </si>
  <si>
    <t>小計</t>
    <rPh sb="0" eb="2">
      <t xml:space="preserve">ショウケイ </t>
    </rPh>
    <phoneticPr fontId="1"/>
  </si>
  <si>
    <t>＊金額は税抜</t>
    <rPh sb="4" eb="6">
      <t xml:space="preserve">ゼイヌキ </t>
    </rPh>
    <phoneticPr fontId="1"/>
  </si>
  <si>
    <t>合計</t>
    <rPh sb="0" eb="2">
      <t xml:space="preserve">ゴウケイ </t>
    </rPh>
    <phoneticPr fontId="1"/>
  </si>
  <si>
    <t>JPY</t>
  </si>
  <si>
    <t>paid</t>
  </si>
  <si>
    <t>手数料率</t>
    <rPh sb="0" eb="4">
      <t xml:space="preserve">テスウリョウリツ </t>
    </rPh>
    <phoneticPr fontId="1"/>
  </si>
  <si>
    <t>Currency</t>
  </si>
  <si>
    <t>Total</t>
  </si>
  <si>
    <t>Retried Amount</t>
  </si>
  <si>
    <t>Fees</t>
  </si>
  <si>
    <t>Reserved Funds</t>
  </si>
  <si>
    <t>Advances</t>
  </si>
  <si>
    <t>Marketplace Sales Tax</t>
  </si>
  <si>
    <t>Adjustments</t>
  </si>
  <si>
    <t>Refunds</t>
  </si>
  <si>
    <t>Charges</t>
  </si>
  <si>
    <t>Status</t>
  </si>
  <si>
    <t>Payout Date</t>
  </si>
  <si>
    <t>オンラインショップ</t>
    <rPh sb="0" eb="2">
      <t>オンラインショップ</t>
    </rPh>
    <phoneticPr fontId="1"/>
  </si>
  <si>
    <t>備考</t>
    <rPh sb="0" eb="2">
      <t xml:space="preserve">ビコウ </t>
    </rPh>
    <phoneticPr fontId="1"/>
  </si>
  <si>
    <t>売上合計</t>
    <rPh sb="0" eb="1">
      <t xml:space="preserve">ウリアゲ </t>
    </rPh>
    <rPh sb="2" eb="4">
      <t xml:space="preserve">ゴウケイ </t>
    </rPh>
    <phoneticPr fontId="1"/>
  </si>
  <si>
    <t>飲食店向け販売(箱無し)</t>
    <rPh sb="0" eb="3">
      <t xml:space="preserve">インショクテン </t>
    </rPh>
    <rPh sb="3" eb="4">
      <t xml:space="preserve">ムケ </t>
    </rPh>
    <rPh sb="5" eb="7">
      <t xml:space="preserve">ハンバイ </t>
    </rPh>
    <rPh sb="8" eb="10">
      <t xml:space="preserve">ハコナシ </t>
    </rPh>
    <phoneticPr fontId="1"/>
  </si>
  <si>
    <t>変動費 計</t>
    <phoneticPr fontId="1"/>
  </si>
  <si>
    <t>オンラインショップ手数料</t>
    <rPh sb="9" eb="12">
      <t xml:space="preserve">テスウリョウ </t>
    </rPh>
    <phoneticPr fontId="1"/>
  </si>
  <si>
    <t>乾様5碗</t>
    <rPh sb="0" eb="2">
      <t xml:space="preserve">イヌイサマ </t>
    </rPh>
    <rPh sb="3" eb="4">
      <t xml:space="preserve">ワン </t>
    </rPh>
    <phoneticPr fontId="1"/>
  </si>
  <si>
    <t>一般(箱あり)</t>
    <rPh sb="0" eb="2">
      <t xml:space="preserve">イッパン </t>
    </rPh>
    <rPh sb="3" eb="4">
      <t xml:space="preserve">ハコアリ </t>
    </rPh>
    <phoneticPr fontId="1"/>
  </si>
  <si>
    <t>SHUWAN販売合計金額</t>
    <rPh sb="6" eb="8">
      <t xml:space="preserve">ハンバイ </t>
    </rPh>
    <rPh sb="8" eb="10">
      <t xml:space="preserve">ゴウケイ </t>
    </rPh>
    <rPh sb="10" eb="12">
      <t xml:space="preserve">キンガク </t>
    </rPh>
    <phoneticPr fontId="1"/>
  </si>
  <si>
    <t>単価違いの販売あり</t>
    <rPh sb="0" eb="2">
      <t xml:space="preserve">タンカ </t>
    </rPh>
    <rPh sb="2" eb="3">
      <t xml:space="preserve">チガイ </t>
    </rPh>
    <rPh sb="5" eb="7">
      <t xml:space="preserve">ハンバイ </t>
    </rPh>
    <phoneticPr fontId="1"/>
  </si>
  <si>
    <t>プロモーション割引合計</t>
    <phoneticPr fontId="1"/>
  </si>
  <si>
    <t>Amazon手数料</t>
    <phoneticPr fontId="1"/>
  </si>
  <si>
    <t>その他</t>
    <phoneticPr fontId="1"/>
  </si>
  <si>
    <t>VINE含む</t>
    <rPh sb="4" eb="5">
      <t xml:space="preserve">フクム </t>
    </rPh>
    <phoneticPr fontId="1"/>
  </si>
  <si>
    <t>AMAZON収支</t>
    <rPh sb="6" eb="8">
      <t xml:space="preserve">シュウシ </t>
    </rPh>
    <phoneticPr fontId="1"/>
  </si>
  <si>
    <t>Amazon</t>
    <rPh sb="0" eb="3">
      <t>Amazon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</si>
</sst>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5" x14ac:knownFonts="1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5"/>
      <color theme="1"/>
      <name val="游ゴシック"/>
      <family val="2"/>
      <charset val="128"/>
      <scheme val="minor"/>
    </font>
    <font>
      <sz val="15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4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1" xfId="0" applyFont="1" applyBorder="1">
      <alignment vertical="center"/>
    </xf>
    <xf numFmtId="6" fontId="4" fillId="0" borderId="1" xfId="2" applyFont="1" applyBorder="1">
      <alignment vertical="center"/>
    </xf>
    <xf numFmtId="38" fontId="4" fillId="0" borderId="1" xfId="1" applyFont="1" applyBorder="1">
      <alignment vertical="center"/>
    </xf>
    <xf numFmtId="0" fontId="4" fillId="0" borderId="0" xfId="0" applyFont="1">
      <alignment vertical="center"/>
    </xf>
    <xf numFmtId="6" fontId="4" fillId="0" borderId="0" xfId="2" applyFont="1" applyBorder="1">
      <alignment vertical="center"/>
    </xf>
    <xf numFmtId="6" fontId="4" fillId="0" borderId="0" xfId="2" applyFont="1">
      <alignment vertical="center"/>
    </xf>
    <xf numFmtId="6" fontId="4" fillId="0" borderId="1" xfId="0" applyNumberFormat="1" applyFont="1" applyBorder="1">
      <alignment vertical="center"/>
    </xf>
    <xf numFmtId="10" fontId="0" fillId="0" borderId="0" xfId="3" applyNumberFormat="1" applyFont="1">
      <alignment vertical="center"/>
    </xf>
    <xf numFmtId="14" fontId="0" fillId="0" borderId="0" xfId="0" applyNumberFormat="1">
      <alignment vertical="center"/>
    </xf>
    <xf numFmtId="6" fontId="4" fillId="0" borderId="2" xfId="2" applyFont="1" applyFill="1" applyBorder="1">
      <alignment vertical="center"/>
    </xf>
    <xf numFmtId="38" fontId="4" fillId="0" borderId="2" xfId="1" applyFont="1" applyFill="1" applyBorder="1">
      <alignment vertical="center"/>
    </xf>
    <xf numFmtId="0" fontId="4" fillId="0" borderId="2" xfId="0" applyFont="1" applyBorder="1">
      <alignment vertical="center"/>
    </xf>
    <xf numFmtId="38" fontId="4" fillId="0" borderId="1" xfId="0" applyNumberFormat="1" applyFont="1" applyBorder="1">
      <alignment vertical="center"/>
    </xf>
    <xf numFmtId="0" fontId="3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  <xf numFmtId="10" fontId="3" fillId="0" borderId="1" xfId="0" applyNumberFormat="1" applyFont="1" applyBorder="1">
      <alignment vertical="center"/>
    </xf>
    <xf numFmtId="0" fontId="4" fillId="2" borderId="1" xfId="0" applyFont="1" applyFill="1" applyBorder="1">
      <alignment vertical="center"/>
    </xf>
    <xf numFmtId="6" fontId="4" fillId="2" borderId="1" xfId="2" applyFont="1" applyFill="1" applyBorder="1">
      <alignment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96A28-B236-6144-8289-713B8B8327FB}">
  <dimension ref="A1:E31"/>
  <sheetViews>
    <sheetView tabSelected="1" workbookViewId="0">
      <selection activeCell="E6" sqref="E6"/>
    </sheetView>
  </sheetViews>
  <sheetFormatPr defaultColWidth="10.71875" defaultRowHeight="24.4" x14ac:dyDescent="0.8"/>
  <cols>
    <col min="1" max="1" width="29" style="1" bestFit="1" customWidth="1"/>
    <col min="2" max="2" width="10.5546875" style="1" bestFit="1" customWidth="1"/>
    <col min="3" max="3" width="6" style="1" bestFit="1" customWidth="1"/>
    <col min="4" max="4" width="10.5546875" style="1" bestFit="1" customWidth="1"/>
    <col min="5" max="5" width="21.83203125" style="1" bestFit="1" customWidth="1"/>
    <col min="6" max="16384" width="10.71875" style="1"/>
  </cols>
  <sheetData>
    <row r="1" spans="1:5" x14ac:dyDescent="0.8">
      <c r="A1" s="1" t="s">
        <v>13</v>
      </c>
    </row>
    <row r="2" spans="1:5" x14ac:dyDescent="0.8">
      <c r="A2" s="2" t="s">
        <v>2</v>
      </c>
      <c r="B2" s="2" t="s">
        <v>5</v>
      </c>
      <c r="C2" s="2" t="s">
        <v>3</v>
      </c>
      <c r="D2" s="2" t="s">
        <v>14</v>
      </c>
      <c r="E2" s="15" t="s">
        <v>33</v>
      </c>
    </row>
    <row r="3" spans="1:5" x14ac:dyDescent="0.8">
      <c r="A3" s="2" t="s">
        <v>32</v>
      </c>
      <c r="B3" s="3">
        <v>3600</v>
      </c>
      <c r="C3" s="4">
        <v>29</v>
      </c>
      <c r="D3" s="3">
        <f>C3*B3</f>
        <v>104400</v>
      </c>
      <c r="E3" s="15"/>
    </row>
    <row r="4" spans="1:5" x14ac:dyDescent="0.8">
      <c r="A4" s="2" t="s">
        <v>35</v>
      </c>
      <c r="B4" s="3">
        <v>2880</v>
      </c>
      <c r="C4" s="4">
        <v>0</v>
      </c>
      <c r="D4" s="3">
        <f>C4*B4</f>
        <v>0</v>
      </c>
      <c r="E4" s="15"/>
    </row>
    <row r="5" spans="1:5" x14ac:dyDescent="0.8">
      <c r="A5" s="2" t="s">
        <v>39</v>
      </c>
      <c r="B5" s="3">
        <v>3600</v>
      </c>
      <c r="C5" s="14">
        <v>5</v>
      </c>
      <c r="D5" s="3">
        <f>C5*B5</f>
        <v>18000</v>
      </c>
      <c r="E5" s="15" t="s">
        <v>38</v>
      </c>
    </row>
    <row r="6" spans="1:5" x14ac:dyDescent="0.8">
      <c r="A6" s="2" t="s">
        <v>34</v>
      </c>
      <c r="B6" s="11"/>
      <c r="C6" s="14">
        <f>SUM(C3:C5)</f>
        <v>34</v>
      </c>
      <c r="D6" s="3">
        <f>SUM(D3:D4)</f>
        <v>104400</v>
      </c>
      <c r="E6" s="15"/>
    </row>
    <row r="7" spans="1:5" x14ac:dyDescent="0.8">
      <c r="A7" s="5"/>
      <c r="B7" s="5"/>
      <c r="C7" s="5"/>
      <c r="D7" s="6"/>
    </row>
    <row r="8" spans="1:5" x14ac:dyDescent="0.8">
      <c r="A8" s="2" t="s">
        <v>47</v>
      </c>
      <c r="B8" s="2" t="s">
        <v>5</v>
      </c>
      <c r="C8" s="2" t="s">
        <v>3</v>
      </c>
      <c r="D8" s="3"/>
      <c r="E8" s="15" t="s">
        <v>33</v>
      </c>
    </row>
    <row r="9" spans="1:5" x14ac:dyDescent="0.8">
      <c r="A9" s="2" t="s">
        <v>40</v>
      </c>
      <c r="B9" s="2">
        <f>ROUND(D9/C9,0)</f>
        <v>3711</v>
      </c>
      <c r="C9" s="2">
        <v>2</v>
      </c>
      <c r="D9" s="3">
        <v>7421</v>
      </c>
      <c r="E9" s="15" t="s">
        <v>41</v>
      </c>
    </row>
    <row r="10" spans="1:5" x14ac:dyDescent="0.8">
      <c r="A10" s="2" t="s">
        <v>42</v>
      </c>
      <c r="B10" s="11"/>
      <c r="C10" s="11"/>
      <c r="D10" s="2">
        <v>331</v>
      </c>
      <c r="E10" s="15" t="s">
        <v>45</v>
      </c>
    </row>
    <row r="11" spans="1:5" x14ac:dyDescent="0.8">
      <c r="A11" s="2" t="s">
        <v>43</v>
      </c>
      <c r="B11" s="11"/>
      <c r="C11" s="11"/>
      <c r="D11" s="2">
        <v>2124</v>
      </c>
      <c r="E11" s="15"/>
    </row>
    <row r="12" spans="1:5" x14ac:dyDescent="0.8">
      <c r="A12" s="2" t="s">
        <v>44</v>
      </c>
      <c r="B12" s="11"/>
      <c r="C12" s="11"/>
      <c r="D12" s="2">
        <v>-992</v>
      </c>
      <c r="E12" s="15"/>
    </row>
    <row r="13" spans="1:5" x14ac:dyDescent="0.8">
      <c r="A13" s="2" t="s">
        <v>16</v>
      </c>
      <c r="B13" s="2"/>
      <c r="C13" s="2"/>
      <c r="D13" s="3">
        <f>D9-D10-D11-D12</f>
        <v>5958</v>
      </c>
      <c r="E13" s="15"/>
    </row>
    <row r="14" spans="1:5" x14ac:dyDescent="0.8">
      <c r="A14" s="5"/>
      <c r="B14" s="5"/>
      <c r="C14" s="5"/>
      <c r="D14" s="6"/>
    </row>
    <row r="15" spans="1:5" x14ac:dyDescent="0.8">
      <c r="A15" s="5" t="s">
        <v>4</v>
      </c>
      <c r="B15" s="7"/>
      <c r="D15" s="7"/>
    </row>
    <row r="16" spans="1:5" x14ac:dyDescent="0.8">
      <c r="A16" s="2" t="s">
        <v>2</v>
      </c>
      <c r="B16" s="2" t="s">
        <v>5</v>
      </c>
      <c r="C16" s="2" t="s">
        <v>3</v>
      </c>
      <c r="D16" s="2" t="s">
        <v>14</v>
      </c>
      <c r="E16" s="15" t="s">
        <v>33</v>
      </c>
    </row>
    <row r="17" spans="1:5" x14ac:dyDescent="0.8">
      <c r="A17" s="2" t="s">
        <v>9</v>
      </c>
      <c r="B17" s="3">
        <v>1050</v>
      </c>
      <c r="C17" s="4">
        <f>C6+C9</f>
        <v>36</v>
      </c>
      <c r="D17" s="3">
        <f>B17*C17</f>
        <v>37800</v>
      </c>
      <c r="E17" s="15"/>
    </row>
    <row r="18" spans="1:5" x14ac:dyDescent="0.8">
      <c r="A18" s="2" t="s">
        <v>6</v>
      </c>
      <c r="B18" s="3">
        <v>100</v>
      </c>
      <c r="C18" s="4">
        <f>C6-C5+C9</f>
        <v>31</v>
      </c>
      <c r="D18" s="3">
        <f>B18*C18</f>
        <v>3100</v>
      </c>
      <c r="E18" s="15"/>
    </row>
    <row r="19" spans="1:5" x14ac:dyDescent="0.8">
      <c r="A19" s="2" t="s">
        <v>7</v>
      </c>
      <c r="B19" s="3">
        <f>ROUND(150/1.1,0)</f>
        <v>136</v>
      </c>
      <c r="C19" s="4">
        <f>C6</f>
        <v>34</v>
      </c>
      <c r="D19" s="3">
        <f>B19*C19</f>
        <v>4624</v>
      </c>
      <c r="E19" s="15"/>
    </row>
    <row r="20" spans="1:5" x14ac:dyDescent="0.8">
      <c r="A20" s="16" t="s">
        <v>37</v>
      </c>
      <c r="B20" s="11"/>
      <c r="C20" s="12"/>
      <c r="D20" s="3">
        <f>ROUND(D3*0.0373,0)</f>
        <v>3894</v>
      </c>
      <c r="E20" s="17">
        <v>-3.73E-2</v>
      </c>
    </row>
    <row r="21" spans="1:5" x14ac:dyDescent="0.8">
      <c r="A21" s="2" t="s">
        <v>36</v>
      </c>
      <c r="B21" s="13"/>
      <c r="C21" s="13"/>
      <c r="D21" s="3">
        <f>SUM(D17:D20)</f>
        <v>49418</v>
      </c>
      <c r="E21" s="15"/>
    </row>
    <row r="22" spans="1:5" x14ac:dyDescent="0.8">
      <c r="A22" s="5"/>
      <c r="B22" s="5"/>
      <c r="C22" s="5"/>
      <c r="D22" s="6"/>
    </row>
    <row r="23" spans="1:5" x14ac:dyDescent="0.8">
      <c r="A23" s="2" t="s">
        <v>2</v>
      </c>
      <c r="B23" s="2" t="s">
        <v>8</v>
      </c>
    </row>
    <row r="24" spans="1:5" x14ac:dyDescent="0.8">
      <c r="A24" s="2" t="s">
        <v>10</v>
      </c>
      <c r="B24" s="8">
        <f>D6</f>
        <v>104400</v>
      </c>
    </row>
    <row r="25" spans="1:5" x14ac:dyDescent="0.8">
      <c r="A25" s="2" t="s">
        <v>11</v>
      </c>
      <c r="B25" s="8">
        <f>D21</f>
        <v>49418</v>
      </c>
    </row>
    <row r="26" spans="1:5" x14ac:dyDescent="0.8">
      <c r="A26" s="2" t="s">
        <v>46</v>
      </c>
      <c r="B26" s="8">
        <f>D13</f>
        <v>5958</v>
      </c>
    </row>
    <row r="27" spans="1:5" x14ac:dyDescent="0.8">
      <c r="A27" s="2" t="s">
        <v>0</v>
      </c>
      <c r="B27" s="8">
        <f>B24-B25+B26</f>
        <v>60940</v>
      </c>
    </row>
    <row r="28" spans="1:5" x14ac:dyDescent="0.8">
      <c r="A28" s="18" t="s">
        <v>1</v>
      </c>
      <c r="B28" s="19">
        <f>ROUND(B27*0.6,0)</f>
        <v>36564</v>
      </c>
    </row>
    <row r="29" spans="1:5" x14ac:dyDescent="0.8">
      <c r="A29" s="2" t="s">
        <v>12</v>
      </c>
      <c r="B29" s="3">
        <f>B27*0.4</f>
        <v>24376</v>
      </c>
    </row>
    <row r="31" spans="1:5" x14ac:dyDescent="0.8">
      <c r="A31" s="1" t="s">
        <v>15</v>
      </c>
    </row>
  </sheetData>
  <phoneticPr fontId="1"/>
  <pageMargins left="0.25" right="0.25" top="0.75" bottom="0.75" header="0.3" footer="0.3"/>
  <pageSetup paperSize="9" orientation="portrait" horizontalDpi="0" verticalDpi="0"/>
  <headerFooter>
    <oddHeader>&amp;F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0AD5E-6A94-E348-B880-17E0F68A0252}">
  <dimension ref="A1:M17"/>
  <sheetViews>
    <sheetView topLeftCell="E1" workbookViewId="0">
      <selection activeCell="I24" sqref="I24"/>
    </sheetView>
  </sheetViews>
  <sheetFormatPr defaultColWidth="10.6640625" defaultRowHeight="19.899999999999999" x14ac:dyDescent="0.8"/>
  <cols>
    <col min="13" max="13" width="10.71875" style="9"/>
  </cols>
  <sheetData>
    <row r="1" spans="1:13" x14ac:dyDescent="0.8">
      <c r="A1" t="s">
        <v>31</v>
      </c>
      <c r="B1" t="s">
        <v>30</v>
      </c>
      <c r="C1" t="s">
        <v>29</v>
      </c>
      <c r="D1" t="s">
        <v>28</v>
      </c>
      <c r="E1" t="s">
        <v>27</v>
      </c>
      <c r="F1" t="s">
        <v>26</v>
      </c>
      <c r="G1" t="s">
        <v>25</v>
      </c>
      <c r="H1" t="s">
        <v>24</v>
      </c>
      <c r="I1" t="s">
        <v>23</v>
      </c>
      <c r="J1" t="s">
        <v>22</v>
      </c>
      <c r="K1" t="s">
        <v>21</v>
      </c>
      <c r="L1" t="s">
        <v>20</v>
      </c>
      <c r="M1" s="9" t="s">
        <v>19</v>
      </c>
    </row>
    <row r="2" spans="1:13" x14ac:dyDescent="0.8">
      <c r="A2" s="10">
        <v>45681</v>
      </c>
      <c r="B2" t="s">
        <v>18</v>
      </c>
      <c r="C2">
        <v>55220</v>
      </c>
      <c r="D2">
        <v>0</v>
      </c>
      <c r="E2">
        <v>0</v>
      </c>
      <c r="F2">
        <v>0</v>
      </c>
      <c r="G2">
        <v>0</v>
      </c>
      <c r="H2">
        <v>0</v>
      </c>
      <c r="I2">
        <v>1993</v>
      </c>
      <c r="J2">
        <v>0</v>
      </c>
      <c r="K2">
        <v>53227</v>
      </c>
      <c r="L2" t="s">
        <v>17</v>
      </c>
      <c r="M2" s="9">
        <f t="shared" ref="M2:M17" si="0">I2/K2</f>
        <v>3.7443402784301201E-2</v>
      </c>
    </row>
    <row r="3" spans="1:13" x14ac:dyDescent="0.8">
      <c r="A3" s="10">
        <v>45674</v>
      </c>
      <c r="B3" t="s">
        <v>18</v>
      </c>
      <c r="C3">
        <v>15180</v>
      </c>
      <c r="D3">
        <v>0</v>
      </c>
      <c r="E3">
        <v>0</v>
      </c>
      <c r="F3">
        <v>0</v>
      </c>
      <c r="G3">
        <v>0</v>
      </c>
      <c r="H3">
        <v>0</v>
      </c>
      <c r="I3">
        <v>540</v>
      </c>
      <c r="J3">
        <v>0</v>
      </c>
      <c r="K3">
        <v>14640</v>
      </c>
      <c r="L3" t="s">
        <v>17</v>
      </c>
      <c r="M3" s="9">
        <f t="shared" si="0"/>
        <v>3.6885245901639344E-2</v>
      </c>
    </row>
    <row r="4" spans="1:13" x14ac:dyDescent="0.8">
      <c r="A4" s="10">
        <v>45667</v>
      </c>
      <c r="B4" t="s">
        <v>18</v>
      </c>
      <c r="C4">
        <v>55220</v>
      </c>
      <c r="D4">
        <v>0</v>
      </c>
      <c r="E4">
        <v>0</v>
      </c>
      <c r="F4">
        <v>0</v>
      </c>
      <c r="G4">
        <v>0</v>
      </c>
      <c r="H4">
        <v>0</v>
      </c>
      <c r="I4">
        <v>1962</v>
      </c>
      <c r="J4">
        <v>0</v>
      </c>
      <c r="K4">
        <v>53258</v>
      </c>
      <c r="L4" t="s">
        <v>17</v>
      </c>
      <c r="M4" s="9">
        <f t="shared" si="0"/>
        <v>3.683953584438019E-2</v>
      </c>
    </row>
    <row r="5" spans="1:13" x14ac:dyDescent="0.8">
      <c r="A5" s="10">
        <v>45663</v>
      </c>
      <c r="B5" t="s">
        <v>18</v>
      </c>
      <c r="C5">
        <v>50820</v>
      </c>
      <c r="D5">
        <v>0</v>
      </c>
      <c r="E5">
        <v>0</v>
      </c>
      <c r="F5">
        <v>0</v>
      </c>
      <c r="G5">
        <v>0</v>
      </c>
      <c r="H5">
        <v>0</v>
      </c>
      <c r="I5">
        <v>1805</v>
      </c>
      <c r="J5">
        <v>0</v>
      </c>
      <c r="K5">
        <v>49015</v>
      </c>
      <c r="L5" t="s">
        <v>17</v>
      </c>
      <c r="M5" s="9">
        <f t="shared" si="0"/>
        <v>3.6825461593389779E-2</v>
      </c>
    </row>
    <row r="6" spans="1:13" x14ac:dyDescent="0.8">
      <c r="A6" s="10">
        <v>45653</v>
      </c>
      <c r="B6" t="s">
        <v>18</v>
      </c>
      <c r="C6">
        <v>91300</v>
      </c>
      <c r="D6">
        <v>0</v>
      </c>
      <c r="E6">
        <v>0</v>
      </c>
      <c r="F6">
        <v>0</v>
      </c>
      <c r="G6">
        <v>0</v>
      </c>
      <c r="H6">
        <v>0</v>
      </c>
      <c r="I6">
        <v>3273</v>
      </c>
      <c r="J6">
        <v>0</v>
      </c>
      <c r="K6">
        <v>88027</v>
      </c>
      <c r="L6" t="s">
        <v>17</v>
      </c>
      <c r="M6" s="9">
        <f t="shared" si="0"/>
        <v>3.718177377395572E-2</v>
      </c>
    </row>
    <row r="7" spans="1:13" x14ac:dyDescent="0.8">
      <c r="A7" s="10">
        <v>45646</v>
      </c>
      <c r="B7" t="s">
        <v>18</v>
      </c>
      <c r="C7">
        <v>52360</v>
      </c>
      <c r="D7">
        <v>0</v>
      </c>
      <c r="E7">
        <v>0</v>
      </c>
      <c r="F7">
        <v>0</v>
      </c>
      <c r="G7">
        <v>0</v>
      </c>
      <c r="H7">
        <v>0</v>
      </c>
      <c r="I7">
        <v>1909</v>
      </c>
      <c r="J7">
        <v>0</v>
      </c>
      <c r="K7">
        <v>50451</v>
      </c>
      <c r="L7" t="s">
        <v>17</v>
      </c>
      <c r="M7" s="9">
        <f t="shared" si="0"/>
        <v>3.7838694971358347E-2</v>
      </c>
    </row>
    <row r="8" spans="1:13" x14ac:dyDescent="0.8">
      <c r="A8" s="10">
        <v>45639</v>
      </c>
      <c r="B8" t="s">
        <v>18</v>
      </c>
      <c r="C8">
        <v>39380</v>
      </c>
      <c r="D8">
        <v>0</v>
      </c>
      <c r="E8">
        <v>0</v>
      </c>
      <c r="F8">
        <v>0</v>
      </c>
      <c r="G8">
        <v>0</v>
      </c>
      <c r="H8">
        <v>0</v>
      </c>
      <c r="I8">
        <v>1400</v>
      </c>
      <c r="J8">
        <v>0</v>
      </c>
      <c r="K8">
        <v>37980</v>
      </c>
      <c r="L8" t="s">
        <v>17</v>
      </c>
      <c r="M8" s="9">
        <f t="shared" si="0"/>
        <v>3.6861506055818852E-2</v>
      </c>
    </row>
    <row r="9" spans="1:13" x14ac:dyDescent="0.8">
      <c r="A9" s="10">
        <v>45632</v>
      </c>
      <c r="B9" t="s">
        <v>18</v>
      </c>
      <c r="C9">
        <v>28160</v>
      </c>
      <c r="D9">
        <v>0</v>
      </c>
      <c r="E9">
        <v>0</v>
      </c>
      <c r="F9">
        <v>0</v>
      </c>
      <c r="G9">
        <v>0</v>
      </c>
      <c r="H9">
        <v>0</v>
      </c>
      <c r="I9">
        <v>1000</v>
      </c>
      <c r="J9">
        <v>0</v>
      </c>
      <c r="K9">
        <v>27160</v>
      </c>
      <c r="L9" t="s">
        <v>17</v>
      </c>
      <c r="M9" s="9">
        <f t="shared" si="0"/>
        <v>3.6818851251840944E-2</v>
      </c>
    </row>
    <row r="10" spans="1:13" x14ac:dyDescent="0.8">
      <c r="A10" s="10">
        <v>45625</v>
      </c>
      <c r="B10" t="s">
        <v>18</v>
      </c>
      <c r="C10">
        <v>32120</v>
      </c>
      <c r="D10">
        <v>0</v>
      </c>
      <c r="E10">
        <v>0</v>
      </c>
      <c r="F10">
        <v>0</v>
      </c>
      <c r="G10">
        <v>0</v>
      </c>
      <c r="H10">
        <v>0</v>
      </c>
      <c r="I10">
        <v>1141</v>
      </c>
      <c r="J10">
        <v>0</v>
      </c>
      <c r="K10">
        <v>30979</v>
      </c>
      <c r="L10" t="s">
        <v>17</v>
      </c>
      <c r="M10" s="9">
        <f t="shared" si="0"/>
        <v>3.6831401917427932E-2</v>
      </c>
    </row>
    <row r="11" spans="1:13" x14ac:dyDescent="0.8">
      <c r="A11" s="10">
        <v>45618</v>
      </c>
      <c r="B11" t="s">
        <v>18</v>
      </c>
      <c r="C11">
        <v>37180</v>
      </c>
      <c r="D11">
        <v>0</v>
      </c>
      <c r="E11">
        <v>0</v>
      </c>
      <c r="F11">
        <v>0</v>
      </c>
      <c r="G11">
        <v>0</v>
      </c>
      <c r="H11">
        <v>0</v>
      </c>
      <c r="I11">
        <v>1321</v>
      </c>
      <c r="J11">
        <v>0</v>
      </c>
      <c r="K11">
        <v>35859</v>
      </c>
      <c r="L11" t="s">
        <v>17</v>
      </c>
      <c r="M11" s="9">
        <f t="shared" si="0"/>
        <v>3.6838729468194872E-2</v>
      </c>
    </row>
    <row r="12" spans="1:13" x14ac:dyDescent="0.8">
      <c r="A12" s="10">
        <v>45611</v>
      </c>
      <c r="B12" t="s">
        <v>18</v>
      </c>
      <c r="C12">
        <v>61380</v>
      </c>
      <c r="D12">
        <v>0</v>
      </c>
      <c r="E12">
        <v>0</v>
      </c>
      <c r="F12">
        <v>0</v>
      </c>
      <c r="G12">
        <v>0</v>
      </c>
      <c r="H12">
        <v>0</v>
      </c>
      <c r="I12">
        <v>2244</v>
      </c>
      <c r="J12">
        <v>0</v>
      </c>
      <c r="K12">
        <v>59136</v>
      </c>
      <c r="L12" t="s">
        <v>17</v>
      </c>
      <c r="M12" s="9">
        <f t="shared" si="0"/>
        <v>3.7946428571428568E-2</v>
      </c>
    </row>
    <row r="13" spans="1:13" x14ac:dyDescent="0.8">
      <c r="A13" s="10">
        <v>45604</v>
      </c>
      <c r="B13" t="s">
        <v>18</v>
      </c>
      <c r="C13">
        <v>15180</v>
      </c>
      <c r="D13">
        <v>0</v>
      </c>
      <c r="E13">
        <v>0</v>
      </c>
      <c r="F13">
        <v>0</v>
      </c>
      <c r="G13">
        <v>0</v>
      </c>
      <c r="H13">
        <v>0</v>
      </c>
      <c r="I13">
        <v>540</v>
      </c>
      <c r="J13">
        <v>0</v>
      </c>
      <c r="K13">
        <v>14640</v>
      </c>
      <c r="L13" t="s">
        <v>17</v>
      </c>
      <c r="M13" s="9">
        <f t="shared" si="0"/>
        <v>3.6885245901639344E-2</v>
      </c>
    </row>
    <row r="14" spans="1:13" x14ac:dyDescent="0.8">
      <c r="A14" s="10">
        <v>45597</v>
      </c>
      <c r="B14" t="s">
        <v>18</v>
      </c>
      <c r="C14">
        <v>146960</v>
      </c>
      <c r="D14">
        <v>0</v>
      </c>
      <c r="E14">
        <v>0</v>
      </c>
      <c r="F14">
        <v>0</v>
      </c>
      <c r="G14">
        <v>0</v>
      </c>
      <c r="H14">
        <v>0</v>
      </c>
      <c r="I14">
        <v>5256</v>
      </c>
      <c r="J14">
        <v>0</v>
      </c>
      <c r="K14">
        <v>141704</v>
      </c>
      <c r="L14" t="s">
        <v>17</v>
      </c>
      <c r="M14" s="9">
        <f t="shared" si="0"/>
        <v>3.7091401795291593E-2</v>
      </c>
    </row>
    <row r="15" spans="1:13" x14ac:dyDescent="0.8">
      <c r="A15" s="10">
        <v>45590</v>
      </c>
      <c r="B15" t="s">
        <v>18</v>
      </c>
      <c r="C15">
        <v>59180</v>
      </c>
      <c r="D15">
        <v>0</v>
      </c>
      <c r="E15">
        <v>0</v>
      </c>
      <c r="F15">
        <v>0</v>
      </c>
      <c r="G15">
        <v>0</v>
      </c>
      <c r="H15">
        <v>0</v>
      </c>
      <c r="I15">
        <v>2101</v>
      </c>
      <c r="J15">
        <v>0</v>
      </c>
      <c r="K15">
        <v>57079</v>
      </c>
      <c r="L15" t="s">
        <v>17</v>
      </c>
      <c r="M15" s="9">
        <f t="shared" si="0"/>
        <v>3.6808633648101753E-2</v>
      </c>
    </row>
    <row r="16" spans="1:13" x14ac:dyDescent="0.8">
      <c r="A16" s="10">
        <v>45576</v>
      </c>
      <c r="B16" t="s">
        <v>18</v>
      </c>
      <c r="C16">
        <v>254320</v>
      </c>
      <c r="D16">
        <v>0</v>
      </c>
      <c r="E16">
        <v>0</v>
      </c>
      <c r="F16">
        <v>0</v>
      </c>
      <c r="G16">
        <v>0</v>
      </c>
      <c r="H16">
        <v>0</v>
      </c>
      <c r="I16">
        <v>9246</v>
      </c>
      <c r="J16">
        <v>0</v>
      </c>
      <c r="K16">
        <v>245074</v>
      </c>
      <c r="L16" t="s">
        <v>17</v>
      </c>
      <c r="M16" s="9">
        <f t="shared" si="0"/>
        <v>3.7727380301459966E-2</v>
      </c>
    </row>
    <row r="17" spans="1:13" x14ac:dyDescent="0.8">
      <c r="A17" t="s">
        <v>16</v>
      </c>
      <c r="I17">
        <f>SUM(I2:I16)</f>
        <v>35731</v>
      </c>
      <c r="K17">
        <f>SUM(K2:K16)</f>
        <v>958229</v>
      </c>
      <c r="M17" s="9">
        <f t="shared" si="0"/>
        <v>3.7288581330767491E-2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レヴェニューシェア資料</vt:lpstr>
      <vt:lpstr>shopify手数料試算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一人 松窪</dc:creator>
  <cp:lastModifiedBy>浩晃 原</cp:lastModifiedBy>
  <cp:lastPrinted>2025-03-03T03:43:09Z</cp:lastPrinted>
  <dcterms:created xsi:type="dcterms:W3CDTF">2025-01-24T08:40:17Z</dcterms:created>
  <dcterms:modified xsi:type="dcterms:W3CDTF">2026-01-21T04:04:12Z</dcterms:modified>
</cp:coreProperties>
</file>