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レベシェア実績/"/>
    </mc:Choice>
  </mc:AlternateContent>
  <xr:revisionPtr revIDLastSave="0" documentId="8_{1E4A479E-0CBA-476A-A893-3F6E99DDDB42}" xr6:coauthVersionLast="47" xr6:coauthVersionMax="47" xr10:uidLastSave="{00000000-0000-0000-0000-000000000000}"/>
  <bookViews>
    <workbookView xWindow="368" yWindow="368" windowWidth="16567" windowHeight="13402" xr2:uid="{9516FBB4-3A9B-6D45-85D3-EE0B367FE07A}"/>
  </bookViews>
  <sheets>
    <sheet name="レヴェニューシェア資料" sheetId="2" r:id="rId1"/>
    <sheet name="Amazon詳細" sheetId="5" r:id="rId2"/>
    <sheet name="留保中9月請求時確認" sheetId="6" r:id="rId3"/>
    <sheet name="shopify手数料試算" sheetId="3" r:id="rId4"/>
  </sheets>
  <definedNames>
    <definedName name="_xlnm._FilterDatabase" localSheetId="1" hidden="1">Amazon詳細!$A$1:$K$111</definedName>
    <definedName name="payment_transactions_export_1__2" localSheetId="3">shopify手数料試算!#REF!</definedName>
    <definedName name="_xlnm.Print_Area" localSheetId="0">レヴェニューシェア資料!$A$1:$E$46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B10" i="2"/>
  <c r="H115" i="5" l="1"/>
  <c r="H114" i="5"/>
  <c r="D26" i="2"/>
  <c r="F110" i="5"/>
  <c r="K110" i="5" s="1"/>
  <c r="H110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8" i="5"/>
  <c r="K99" i="5"/>
  <c r="K100" i="5"/>
  <c r="K101" i="5"/>
  <c r="K102" i="5"/>
  <c r="K103" i="5"/>
  <c r="K104" i="5"/>
  <c r="K105" i="5"/>
  <c r="K106" i="5"/>
  <c r="K107" i="5"/>
  <c r="K108" i="5"/>
  <c r="K97" i="5"/>
  <c r="J110" i="5"/>
  <c r="I110" i="5"/>
  <c r="G110" i="5"/>
  <c r="C30" i="2"/>
  <c r="D30" i="2" s="1"/>
  <c r="C18" i="2"/>
  <c r="C34" i="2" s="1"/>
  <c r="B13" i="2"/>
  <c r="G6" i="2"/>
  <c r="H6" i="2" s="1"/>
  <c r="G5" i="2"/>
  <c r="H5" i="2" s="1"/>
  <c r="G4" i="2"/>
  <c r="H4" i="2" s="1"/>
  <c r="G3" i="2"/>
  <c r="H3" i="2" s="1"/>
  <c r="C7" i="2"/>
  <c r="C32" i="2" s="1"/>
  <c r="B6" i="2"/>
  <c r="D6" i="2" s="1"/>
  <c r="B5" i="2"/>
  <c r="D5" i="2" s="1"/>
  <c r="B4" i="2"/>
  <c r="D4" i="2" s="1"/>
  <c r="B3" i="2"/>
  <c r="D3" i="2" s="1"/>
  <c r="B14" i="2"/>
  <c r="C31" i="2" l="1"/>
  <c r="H7" i="2"/>
  <c r="D7" i="2"/>
  <c r="D35" i="2" s="1"/>
  <c r="C33" i="2"/>
  <c r="D32" i="2" l="1"/>
  <c r="B32" i="2" s="1"/>
  <c r="D17" i="2"/>
  <c r="D16" i="2"/>
  <c r="B41" i="2" l="1"/>
  <c r="B21" i="2"/>
  <c r="D31" i="2" l="1"/>
  <c r="D15" i="2"/>
  <c r="D18" i="2" s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34" i="2"/>
  <c r="D33" i="2" l="1"/>
  <c r="D34" i="2"/>
  <c r="D36" i="2" l="1"/>
  <c r="B40" i="2" s="1"/>
  <c r="B42" i="2" s="1"/>
  <c r="B43" i="2" l="1"/>
  <c r="B44" i="2" l="1"/>
</calcChain>
</file>

<file path=xl/sharedStrings.xml><?xml version="1.0" encoding="utf-8"?>
<sst xmlns="http://schemas.openxmlformats.org/spreadsheetml/2006/main" count="618" uniqueCount="189">
  <si>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</si>
  <si>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</si>
  <si>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</si>
  <si>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</si>
  <si>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</si>
  <si>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</si>
  <si>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</si>
  <si>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</si>
  <si>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</si>
  <si>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</si>
  <si>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</si>
  <si>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</si>
  <si>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</si>
  <si>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</si>
  <si>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</si>
  <si>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</si>
  <si>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</si>
  <si>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</si>
  <si>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</si>
  <si>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</si>
  <si>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</si>
  <si>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</si>
  <si>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</si>
  <si>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</si>
  <si>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</si>
  <si>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</si>
  <si>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</si>
  <si>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</si>
  <si>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</si>
  <si>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</si>
  <si>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</si>
  <si>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</si>
  <si>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</si>
  <si>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</si>
  <si>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</si>
  <si>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</si>
  <si>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</si>
  <si>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</si>
  <si>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</si>
  <si>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</si>
  <si>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</si>
  <si>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</si>
  <si>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</si>
  <si>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</si>
  <si>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</si>
  <si>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</si>
  <si>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</si>
  <si>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</si>
  <si>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</si>
  <si>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</si>
  <si>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</si>
  <si>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</si>
  <si>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</si>
  <si>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SHUWAN 正規品 公式 日本酒グラス, 酒器,270ml, 磁器,食洗機対応...</t>
  </si>
  <si>
    <t>サービス料金</t>
  </si>
  <si>
    <t>---</t>
  </si>
  <si>
    <t>広告費用</t>
  </si>
  <si>
    <t>月額登録料：</t>
  </si>
  <si>
    <t>その他費用</t>
    <phoneticPr fontId="1"/>
  </si>
  <si>
    <t>広告費用/月額登録料</t>
    <phoneticPr fontId="1"/>
  </si>
  <si>
    <t>SHUWAN箱あり</t>
    <rPh sb="6" eb="7">
      <t xml:space="preserve">ハコアリ </t>
    </rPh>
    <phoneticPr fontId="1"/>
  </si>
  <si>
    <t>返金</t>
  </si>
  <si>
    <t>販売数量</t>
    <rPh sb="0" eb="2">
      <t xml:space="preserve">ハンバイ </t>
    </rPh>
    <rPh sb="2" eb="4">
      <t xml:space="preserve">スウリョウ </t>
    </rPh>
    <phoneticPr fontId="5"/>
  </si>
  <si>
    <t>FBA保管手数料：</t>
  </si>
  <si>
    <t>留保中</t>
  </si>
  <si>
    <t>503-3165247-3147023</t>
  </si>
  <si>
    <t>249-4024838-4809404</t>
  </si>
  <si>
    <t>250-6595710-6616613</t>
  </si>
  <si>
    <t>250-9474081-1664604</t>
  </si>
  <si>
    <t>250-0718506-5005424</t>
  </si>
  <si>
    <t>503-7861031-4019846</t>
  </si>
  <si>
    <t>249-4875695-8587847</t>
  </si>
  <si>
    <t>503-8861251-8426212</t>
  </si>
  <si>
    <t>503-3403695-1030269</t>
  </si>
  <si>
    <t>503-8641292-6217460</t>
  </si>
  <si>
    <t>250-7487053-5923803</t>
  </si>
  <si>
    <t>503-6763675-9639000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</si>
  <si>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</si>
  <si>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</si>
  <si>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</si>
  <si>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</si>
  <si>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</si>
  <si>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</si>
  <si>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</si>
  <si>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</si>
  <si>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オンラインショップ みむろ杉</t>
    <rPh sb="0" eb="2">
      <t>オンラインショップ</t>
    </rPh>
    <phoneticPr fontId="1"/>
  </si>
  <si>
    <t>SHUWAN原価(みむろ杉)</t>
    <phoneticPr fontId="1"/>
  </si>
  <si>
    <t>249-4815990-0166212</t>
  </si>
  <si>
    <t>SHUWAN 正規品 公式 日テレ ゲンバ TV放映 かまいたち,日本酒グラス,...</t>
  </si>
  <si>
    <t>503-8211194-9488641</t>
  </si>
  <si>
    <t>250-0290121-9086207</t>
  </si>
  <si>
    <t>250-8952692-5114212</t>
  </si>
  <si>
    <t>503-5190651-8054258</t>
  </si>
  <si>
    <t>249-0079293-7837408</t>
  </si>
  <si>
    <t>249-9358165-6483015</t>
  </si>
  <si>
    <t>249-6571787-5798228</t>
  </si>
  <si>
    <t>249-5986883-7627002</t>
  </si>
  <si>
    <t>249-6314900-0853469</t>
  </si>
  <si>
    <t>250-2959390-3239811</t>
  </si>
  <si>
    <t>503-0505674-0147006</t>
  </si>
  <si>
    <t>503-1513344-6502208</t>
  </si>
  <si>
    <t>250-3026416-2368642</t>
  </si>
  <si>
    <t>249-3588040-6778231</t>
  </si>
  <si>
    <t>249-4242830-6932628</t>
  </si>
  <si>
    <t>503-3703825-8979010</t>
  </si>
  <si>
    <t>503-1276449-1248666</t>
  </si>
  <si>
    <t>250-9252822-8759038</t>
  </si>
  <si>
    <t>250-9607087-1085416</t>
  </si>
  <si>
    <t>250-0498698-0503014</t>
  </si>
  <si>
    <t>250-1028526-4183045</t>
  </si>
  <si>
    <t>250-9778779-8781407</t>
  </si>
  <si>
    <t>249-4609921-5881415</t>
  </si>
  <si>
    <t>250-5561243-6942203</t>
  </si>
  <si>
    <t>503-3621069-0593457</t>
  </si>
  <si>
    <t>503-2306997-1986263</t>
  </si>
  <si>
    <t>249-6882704-2111042</t>
  </si>
  <si>
    <t>503-3165327-1589432</t>
  </si>
  <si>
    <t>249-8220914-1777406</t>
  </si>
  <si>
    <t>503-1562986-9430239</t>
  </si>
  <si>
    <t>503-2500260-0223826</t>
  </si>
  <si>
    <t>249-2294536-4372662</t>
  </si>
  <si>
    <t>503-8524690-3940663</t>
  </si>
  <si>
    <t>250-0214078-0743866</t>
  </si>
  <si>
    <t>250-9626394-9983033</t>
  </si>
  <si>
    <t>250-2783663-5759034</t>
  </si>
  <si>
    <t>249-6127687-9922232</t>
  </si>
  <si>
    <t>249-1677537-1337450</t>
  </si>
  <si>
    <t>503-3250760-2960636</t>
  </si>
  <si>
    <t>249-5920895-1308667</t>
  </si>
  <si>
    <t>249-3381784-5653426</t>
  </si>
  <si>
    <t>250-6626973-1891846</t>
  </si>
  <si>
    <t>503-5763280-7219015</t>
  </si>
  <si>
    <t>250-5353722-3631028</t>
  </si>
  <si>
    <t>249-5792522-8106241</t>
  </si>
  <si>
    <t>249-1609917-0926250</t>
  </si>
  <si>
    <t>249-1989209-7160644</t>
  </si>
  <si>
    <t>503-8794776-8992664</t>
  </si>
  <si>
    <t>503-3224956-6941400</t>
  </si>
  <si>
    <t>503-5753048-6624614</t>
  </si>
  <si>
    <t>249-8601094-9835044</t>
  </si>
  <si>
    <t>503-1322478-5390203</t>
  </si>
  <si>
    <t>249-9153897-4559054</t>
  </si>
  <si>
    <t>503-9305870-0078255</t>
  </si>
  <si>
    <t>250-8384947-2058255</t>
  </si>
  <si>
    <t>503-6101840-3875856</t>
  </si>
  <si>
    <t>250-5095634-7387863</t>
  </si>
  <si>
    <t>250-2951553-8147801</t>
  </si>
  <si>
    <t>249-0795842-4648661</t>
  </si>
  <si>
    <t>249-1594356-0279012</t>
  </si>
  <si>
    <t>249-2801545-9028611</t>
  </si>
  <si>
    <t>250-3864646-0034267</t>
  </si>
  <si>
    <t>250-8898904-5267065</t>
  </si>
  <si>
    <t>250-1468235-0171026</t>
  </si>
  <si>
    <t>250-7543501-3962254</t>
  </si>
  <si>
    <t>250-5819173-7936630</t>
  </si>
  <si>
    <t>250-4646888-1963012</t>
  </si>
  <si>
    <t>250-6922522-6968654</t>
  </si>
  <si>
    <t>503-0971596-0012655</t>
  </si>
  <si>
    <t>250-4602445-0451006</t>
  </si>
  <si>
    <t>249-1288463-6245406</t>
  </si>
  <si>
    <t>250-2113586-2766268</t>
  </si>
  <si>
    <t>249-1347362-3963066</t>
  </si>
  <si>
    <t>503-7955111-4511854</t>
  </si>
  <si>
    <t>250-5670554-2008635</t>
  </si>
  <si>
    <t>249-3033757-8645443</t>
  </si>
  <si>
    <t>250-6261062-0063029</t>
  </si>
  <si>
    <t>250-2071149-5958265</t>
  </si>
  <si>
    <t>249-7374744-4784617</t>
  </si>
  <si>
    <t>503-1839894-7872658</t>
  </si>
  <si>
    <t>250-9613974-3371018</t>
  </si>
  <si>
    <t>503-1242302-3590219</t>
  </si>
  <si>
    <t>249-9529042-4219028</t>
  </si>
  <si>
    <t>250-1127416-8551859</t>
  </si>
  <si>
    <t>250-8077342-3437402</t>
  </si>
  <si>
    <t>250-2311920-7977404</t>
  </si>
  <si>
    <t>503-4566044-1502213</t>
  </si>
  <si>
    <t>月額登録料(税込)</t>
    <rPh sb="6" eb="8">
      <t xml:space="preserve">ゼイコミ </t>
    </rPh>
    <phoneticPr fontId="1"/>
  </si>
  <si>
    <t>広告費用(税込)</t>
    <phoneticPr fontId="1"/>
  </si>
  <si>
    <t>月額登録料
広告費用
(税抜)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</si>
  <si>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</si>
  <si>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</si>
  <si>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</si>
  <si>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</si>
  <si>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</si>
  <si>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</si>
  <si>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エルスタイル 90</t>
    <phoneticPr fontId="1"/>
  </si>
  <si>
    <t>つきや酒店 6</t>
    <phoneticPr fontId="1"/>
  </si>
  <si>
    <t>エルスタイル 60
酒泉洞掘一 30
小宮商店 60
ナビッピドットコム	30</t>
    <rPh sb="19" eb="21">
      <t xml:space="preserve">コミヤ </t>
    </rPh>
    <rPh sb="21" eb="23">
      <t xml:space="preserve">ショウテン </t>
    </rPh>
    <phoneticPr fontId="1"/>
  </si>
  <si>
    <t>7月分(桐箱紙袋売上合計)</t>
    <rPh sb="1" eb="3">
      <t xml:space="preserve">ガツブン </t>
    </rPh>
    <rPh sb="4" eb="6">
      <t xml:space="preserve">キリバコ </t>
    </rPh>
    <rPh sb="6" eb="8">
      <t xml:space="preserve">カミブクロ </t>
    </rPh>
    <rPh sb="8" eb="10">
      <t xml:space="preserve">ウリアゲ </t>
    </rPh>
    <rPh sb="10" eb="12">
      <t xml:space="preserve">ゴウケイ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</si>
</sst>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6" fontId="3" fillId="0" borderId="1" xfId="2" applyFont="1" applyBorder="1">
      <alignment vertical="center"/>
    </xf>
    <xf numFmtId="0" fontId="6" fillId="0" borderId="0" xfId="0" applyFont="1">
      <alignment vertical="center"/>
    </xf>
    <xf numFmtId="6" fontId="3" fillId="0" borderId="1" xfId="0" applyNumberFormat="1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H50"/>
  <sheetViews>
    <sheetView tabSelected="1" zoomScaleNormal="100" zoomScaleSheetLayoutView="94" workbookViewId="0">
      <selection activeCell="A17" sqref="A17"/>
    </sheetView>
  </sheetViews>
  <sheetFormatPr defaultColWidth="10.71875" defaultRowHeight="24.4" x14ac:dyDescent="0.8"/>
  <cols>
    <col min="1" max="1" width="33.27734375" style="1" bestFit="1" customWidth="1"/>
    <col min="2" max="2" width="12" style="1" customWidth="1"/>
    <col min="3" max="3" width="6" style="1" bestFit="1" customWidth="1"/>
    <col min="4" max="4" width="12.5546875" style="1" bestFit="1" customWidth="1"/>
    <col min="5" max="5" width="27" style="1" customWidth="1"/>
    <col min="6" max="6" width="3.27734375" style="1" customWidth="1"/>
    <col min="7" max="7" width="5.44140625" style="1" bestFit="1" customWidth="1"/>
    <col min="8" max="8" width="10.71875" style="1"/>
    <col min="9" max="9" width="21.83203125" style="1" bestFit="1" customWidth="1"/>
    <col min="10" max="16384" width="10.71875" style="1"/>
  </cols>
  <sheetData>
    <row r="1" spans="1:8" x14ac:dyDescent="0.8">
      <c r="A1" s="1" t="s">
        <v>13</v>
      </c>
    </row>
    <row r="2" spans="1:8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32</v>
      </c>
      <c r="G2" s="15" t="s">
        <v>84</v>
      </c>
      <c r="H2" s="15" t="s">
        <v>14</v>
      </c>
    </row>
    <row r="3" spans="1:8" x14ac:dyDescent="0.8">
      <c r="A3" s="2" t="s">
        <v>79</v>
      </c>
      <c r="B3" s="15">
        <f>ROUND(2000/1.1,0)</f>
        <v>1818</v>
      </c>
      <c r="C3" s="15">
        <v>13</v>
      </c>
      <c r="D3" s="22">
        <f>C3*B3</f>
        <v>23634</v>
      </c>
      <c r="E3" s="15"/>
      <c r="G3" s="15">
        <f>18+620</f>
        <v>638</v>
      </c>
      <c r="H3" s="15">
        <f>G3*C3</f>
        <v>8294</v>
      </c>
    </row>
    <row r="4" spans="1:8" x14ac:dyDescent="0.8">
      <c r="A4" s="2" t="s">
        <v>80</v>
      </c>
      <c r="B4" s="15">
        <f>ROUND(1000/1.1,0)</f>
        <v>909</v>
      </c>
      <c r="C4" s="15">
        <v>46</v>
      </c>
      <c r="D4" s="22">
        <f t="shared" ref="D4:D6" si="0">C4*B4</f>
        <v>41814</v>
      </c>
      <c r="E4" s="15"/>
      <c r="G4" s="15">
        <f>18+420</f>
        <v>438</v>
      </c>
      <c r="H4" s="15">
        <f t="shared" ref="H4:H6" si="1">G4*C4</f>
        <v>20148</v>
      </c>
    </row>
    <row r="5" spans="1:8" x14ac:dyDescent="0.8">
      <c r="A5" s="2" t="s">
        <v>81</v>
      </c>
      <c r="B5" s="15">
        <f>ROUND(250/1.1,0)</f>
        <v>227</v>
      </c>
      <c r="C5" s="15">
        <v>12</v>
      </c>
      <c r="D5" s="22">
        <f t="shared" si="0"/>
        <v>2724</v>
      </c>
      <c r="E5" s="15"/>
      <c r="G5" s="15">
        <f>18+103</f>
        <v>121</v>
      </c>
      <c r="H5" s="15">
        <f t="shared" si="1"/>
        <v>1452</v>
      </c>
    </row>
    <row r="6" spans="1:8" x14ac:dyDescent="0.8">
      <c r="A6" s="2" t="s">
        <v>82</v>
      </c>
      <c r="B6" s="15">
        <f>ROUND(220/1.1,0)</f>
        <v>200</v>
      </c>
      <c r="C6" s="15">
        <v>21</v>
      </c>
      <c r="D6" s="22">
        <f t="shared" si="0"/>
        <v>4200</v>
      </c>
      <c r="E6" s="15"/>
      <c r="G6" s="15">
        <f>18+99</f>
        <v>117</v>
      </c>
      <c r="H6" s="15">
        <f t="shared" si="1"/>
        <v>2457</v>
      </c>
    </row>
    <row r="7" spans="1:8" x14ac:dyDescent="0.8">
      <c r="A7" s="2" t="s">
        <v>33</v>
      </c>
      <c r="B7" s="11"/>
      <c r="C7" s="14">
        <f>SUM(C3:C6)</f>
        <v>92</v>
      </c>
      <c r="D7" s="3">
        <f>SUM(D3:D6)</f>
        <v>72372</v>
      </c>
      <c r="E7" s="15"/>
      <c r="G7" s="15"/>
      <c r="H7" s="3">
        <f>SUM(H3:H6)</f>
        <v>32351</v>
      </c>
    </row>
    <row r="9" spans="1:8" x14ac:dyDescent="0.8">
      <c r="A9" s="2" t="s">
        <v>2</v>
      </c>
      <c r="B9" s="2" t="s">
        <v>5</v>
      </c>
      <c r="C9" s="2" t="s">
        <v>3</v>
      </c>
      <c r="D9" s="2" t="s">
        <v>14</v>
      </c>
      <c r="E9" s="15" t="s">
        <v>32</v>
      </c>
    </row>
    <row r="10" spans="1:8" x14ac:dyDescent="0.8">
      <c r="A10" s="2" t="s">
        <v>188</v>
      </c>
      <c r="B10" s="15">
        <f>ROUND(D10/C10,0)</f>
        <v>820</v>
      </c>
      <c r="C10" s="15">
        <v>51</v>
      </c>
      <c r="D10" s="24">
        <v>41805</v>
      </c>
      <c r="E10" s="15"/>
    </row>
    <row r="12" spans="1:8" x14ac:dyDescent="0.8">
      <c r="A12" s="2" t="s">
        <v>2</v>
      </c>
      <c r="B12" s="2" t="s">
        <v>5</v>
      </c>
      <c r="C12" s="2" t="s">
        <v>3</v>
      </c>
      <c r="D12" s="2" t="s">
        <v>14</v>
      </c>
      <c r="E12" s="15" t="s">
        <v>32</v>
      </c>
    </row>
    <row r="13" spans="1:8" x14ac:dyDescent="0.8">
      <c r="A13" s="2" t="s">
        <v>85</v>
      </c>
      <c r="B13" s="3">
        <f t="shared" ref="B13:B14" si="2">ROUND(D13/C13,0)</f>
        <v>4527</v>
      </c>
      <c r="C13" s="2">
        <v>79</v>
      </c>
      <c r="D13" s="8">
        <v>357633</v>
      </c>
      <c r="E13" s="15"/>
    </row>
    <row r="14" spans="1:8" x14ac:dyDescent="0.8">
      <c r="A14" s="2" t="s">
        <v>78</v>
      </c>
      <c r="B14" s="3">
        <f t="shared" si="2"/>
        <v>3900</v>
      </c>
      <c r="C14" s="4">
        <v>158</v>
      </c>
      <c r="D14" s="3">
        <v>616200</v>
      </c>
      <c r="E14" s="15"/>
    </row>
    <row r="15" spans="1:8" x14ac:dyDescent="0.8">
      <c r="A15" s="2" t="s">
        <v>60</v>
      </c>
      <c r="B15" s="3">
        <v>2216</v>
      </c>
      <c r="C15" s="4">
        <v>90</v>
      </c>
      <c r="D15" s="3">
        <f t="shared" ref="D15:D17" si="3">C15*B15</f>
        <v>199440</v>
      </c>
      <c r="E15" s="20" t="s">
        <v>185</v>
      </c>
    </row>
    <row r="16" spans="1:8" ht="97.5" x14ac:dyDescent="0.8">
      <c r="A16" s="2" t="s">
        <v>60</v>
      </c>
      <c r="B16" s="3">
        <v>2640</v>
      </c>
      <c r="C16" s="4">
        <v>180</v>
      </c>
      <c r="D16" s="3">
        <f t="shared" si="3"/>
        <v>475200</v>
      </c>
      <c r="E16" s="20" t="s">
        <v>187</v>
      </c>
    </row>
    <row r="17" spans="1:8" x14ac:dyDescent="0.8">
      <c r="A17" s="2" t="s">
        <v>60</v>
      </c>
      <c r="B17" s="3">
        <v>2880</v>
      </c>
      <c r="C17" s="4">
        <v>6</v>
      </c>
      <c r="D17" s="3">
        <f t="shared" si="3"/>
        <v>17280</v>
      </c>
      <c r="E17" s="20" t="s">
        <v>186</v>
      </c>
    </row>
    <row r="18" spans="1:8" x14ac:dyDescent="0.8">
      <c r="A18" s="2" t="s">
        <v>33</v>
      </c>
      <c r="B18" s="11"/>
      <c r="C18" s="14">
        <f>SUM(C13:C17)</f>
        <v>513</v>
      </c>
      <c r="D18" s="3">
        <f>SUM(D13:D17)</f>
        <v>1665753</v>
      </c>
      <c r="E18" s="15"/>
    </row>
    <row r="19" spans="1:8" x14ac:dyDescent="0.8">
      <c r="A19" s="5"/>
      <c r="B19" s="5"/>
      <c r="C19" s="5"/>
      <c r="D19" s="6"/>
    </row>
    <row r="20" spans="1:8" x14ac:dyDescent="0.8">
      <c r="A20" s="2" t="s">
        <v>40</v>
      </c>
      <c r="B20" s="2" t="s">
        <v>5</v>
      </c>
      <c r="C20" s="2" t="s">
        <v>3</v>
      </c>
      <c r="D20" s="2" t="s">
        <v>14</v>
      </c>
      <c r="E20" s="15" t="s">
        <v>32</v>
      </c>
      <c r="H20" s="23"/>
    </row>
    <row r="21" spans="1:8" x14ac:dyDescent="0.8">
      <c r="A21" s="2" t="s">
        <v>36</v>
      </c>
      <c r="B21" s="3">
        <f>ROUND(D21/C21,0)</f>
        <v>3625</v>
      </c>
      <c r="C21" s="2">
        <v>137</v>
      </c>
      <c r="D21" s="3">
        <v>496591</v>
      </c>
      <c r="E21" s="15"/>
    </row>
    <row r="22" spans="1:8" x14ac:dyDescent="0.8">
      <c r="A22" s="2" t="s">
        <v>37</v>
      </c>
      <c r="B22" s="11"/>
      <c r="C22" s="11"/>
      <c r="D22" s="3">
        <v>10247</v>
      </c>
      <c r="E22" s="15"/>
    </row>
    <row r="23" spans="1:8" x14ac:dyDescent="0.8">
      <c r="A23" s="2" t="s">
        <v>38</v>
      </c>
      <c r="B23" s="11"/>
      <c r="C23" s="11"/>
      <c r="D23" s="3">
        <v>101338</v>
      </c>
      <c r="E23" s="15"/>
    </row>
    <row r="24" spans="1:8" x14ac:dyDescent="0.8">
      <c r="A24" s="2" t="s">
        <v>184</v>
      </c>
      <c r="B24" s="11"/>
      <c r="C24" s="11"/>
      <c r="D24" s="3">
        <v>-51286</v>
      </c>
      <c r="E24" s="15"/>
    </row>
    <row r="25" spans="1:8" x14ac:dyDescent="0.8">
      <c r="A25" s="2" t="s">
        <v>58</v>
      </c>
      <c r="B25" s="19"/>
      <c r="C25" s="19"/>
      <c r="D25" s="3">
        <v>32369</v>
      </c>
      <c r="E25" s="15" t="s">
        <v>59</v>
      </c>
    </row>
    <row r="26" spans="1:8" x14ac:dyDescent="0.8">
      <c r="A26" s="2" t="s">
        <v>16</v>
      </c>
      <c r="B26" s="2"/>
      <c r="C26" s="2"/>
      <c r="D26" s="3">
        <f>D21-D22-D23-D24-D25</f>
        <v>403923</v>
      </c>
      <c r="E26" s="15"/>
    </row>
    <row r="27" spans="1:8" x14ac:dyDescent="0.8">
      <c r="A27" s="5"/>
      <c r="B27" s="5"/>
      <c r="C27" s="5"/>
      <c r="D27" s="6"/>
    </row>
    <row r="28" spans="1:8" x14ac:dyDescent="0.8">
      <c r="A28" s="5" t="s">
        <v>4</v>
      </c>
      <c r="B28" s="7"/>
      <c r="D28" s="7"/>
    </row>
    <row r="29" spans="1:8" x14ac:dyDescent="0.8">
      <c r="A29" s="2" t="s">
        <v>2</v>
      </c>
      <c r="B29" s="2" t="s">
        <v>5</v>
      </c>
      <c r="C29" s="2" t="s">
        <v>3</v>
      </c>
      <c r="D29" s="2" t="s">
        <v>14</v>
      </c>
      <c r="E29" s="15" t="s">
        <v>32</v>
      </c>
    </row>
    <row r="30" spans="1:8" x14ac:dyDescent="0.8">
      <c r="A30" s="2" t="s">
        <v>86</v>
      </c>
      <c r="B30" s="3">
        <v>1300</v>
      </c>
      <c r="C30" s="2">
        <f>C13</f>
        <v>79</v>
      </c>
      <c r="D30" s="3">
        <f>B30*C30</f>
        <v>102700</v>
      </c>
      <c r="E30" s="15"/>
    </row>
    <row r="31" spans="1:8" x14ac:dyDescent="0.8">
      <c r="A31" s="2" t="s">
        <v>9</v>
      </c>
      <c r="B31" s="3">
        <v>1050</v>
      </c>
      <c r="C31" s="4">
        <f>C18+C21-C13</f>
        <v>571</v>
      </c>
      <c r="D31" s="3">
        <f>B31*C31</f>
        <v>599550</v>
      </c>
      <c r="E31" s="15"/>
    </row>
    <row r="32" spans="1:8" x14ac:dyDescent="0.8">
      <c r="A32" s="2" t="s">
        <v>83</v>
      </c>
      <c r="B32" s="3">
        <f>ROUND(D32/C32,0)</f>
        <v>352</v>
      </c>
      <c r="C32" s="4">
        <f>C7</f>
        <v>92</v>
      </c>
      <c r="D32" s="3">
        <f>H7</f>
        <v>32351</v>
      </c>
      <c r="E32" s="15"/>
    </row>
    <row r="33" spans="1:5" x14ac:dyDescent="0.8">
      <c r="A33" s="2" t="s">
        <v>6</v>
      </c>
      <c r="B33" s="3">
        <v>100</v>
      </c>
      <c r="C33" s="4">
        <f>C18+C21</f>
        <v>650</v>
      </c>
      <c r="D33" s="3">
        <f>B33*C33</f>
        <v>65000</v>
      </c>
      <c r="E33" s="15"/>
    </row>
    <row r="34" spans="1:5" x14ac:dyDescent="0.8">
      <c r="A34" s="2" t="s">
        <v>7</v>
      </c>
      <c r="B34" s="3">
        <f>ROUND(150/1.1,0)</f>
        <v>136</v>
      </c>
      <c r="C34" s="4">
        <f>C18-C13</f>
        <v>434</v>
      </c>
      <c r="D34" s="3">
        <f>B34*C34</f>
        <v>59024</v>
      </c>
      <c r="E34" s="15"/>
    </row>
    <row r="35" spans="1:5" x14ac:dyDescent="0.8">
      <c r="A35" s="16" t="s">
        <v>35</v>
      </c>
      <c r="B35" s="11"/>
      <c r="C35" s="12"/>
      <c r="D35" s="3">
        <f>ROUND((D7+D14)*0.0373,0)</f>
        <v>25684</v>
      </c>
      <c r="E35" s="17">
        <v>-3.73E-2</v>
      </c>
    </row>
    <row r="36" spans="1:5" x14ac:dyDescent="0.8">
      <c r="A36" s="2" t="s">
        <v>34</v>
      </c>
      <c r="B36" s="13"/>
      <c r="C36" s="13"/>
      <c r="D36" s="3">
        <f>SUM(D30:D35)</f>
        <v>884309</v>
      </c>
      <c r="E36" s="15"/>
    </row>
    <row r="37" spans="1:5" x14ac:dyDescent="0.8">
      <c r="A37" s="5"/>
      <c r="B37" s="5"/>
      <c r="C37" s="5"/>
      <c r="D37" s="6"/>
    </row>
    <row r="38" spans="1:5" x14ac:dyDescent="0.8">
      <c r="A38" s="2" t="s">
        <v>2</v>
      </c>
      <c r="B38" s="2" t="s">
        <v>8</v>
      </c>
    </row>
    <row r="39" spans="1:5" x14ac:dyDescent="0.8">
      <c r="A39" s="2" t="s">
        <v>10</v>
      </c>
      <c r="B39" s="8">
        <f>D18+D7+D10</f>
        <v>1779930</v>
      </c>
    </row>
    <row r="40" spans="1:5" x14ac:dyDescent="0.8">
      <c r="A40" s="2" t="s">
        <v>11</v>
      </c>
      <c r="B40" s="8">
        <f>D36</f>
        <v>884309</v>
      </c>
    </row>
    <row r="41" spans="1:5" x14ac:dyDescent="0.8">
      <c r="A41" s="2" t="s">
        <v>39</v>
      </c>
      <c r="B41" s="8">
        <f>D26</f>
        <v>403923</v>
      </c>
    </row>
    <row r="42" spans="1:5" x14ac:dyDescent="0.8">
      <c r="A42" s="2" t="s">
        <v>0</v>
      </c>
      <c r="B42" s="8">
        <f>B39-B40+B41</f>
        <v>1299544</v>
      </c>
    </row>
    <row r="43" spans="1:5" x14ac:dyDescent="0.8">
      <c r="A43" s="2" t="s">
        <v>1</v>
      </c>
      <c r="B43" s="3">
        <f>ROUND(B42*0.6,0)</f>
        <v>779726</v>
      </c>
    </row>
    <row r="44" spans="1:5" x14ac:dyDescent="0.8">
      <c r="A44" s="2" t="s">
        <v>12</v>
      </c>
      <c r="B44" s="3">
        <f>B42*0.4</f>
        <v>519817.60000000003</v>
      </c>
    </row>
    <row r="46" spans="1:5" x14ac:dyDescent="0.8">
      <c r="A46" s="1" t="s">
        <v>15</v>
      </c>
    </row>
    <row r="49" s="1" customFormat="1" x14ac:dyDescent="0.8"/>
    <row r="50" s="1" customFormat="1" x14ac:dyDescent="0.8"/>
  </sheetData>
  <phoneticPr fontId="1"/>
  <pageMargins left="0.25" right="0.25" top="0.75" bottom="0.75" header="0.3" footer="0.3"/>
  <pageSetup paperSize="9" scale="82" orientation="portrait" horizontalDpi="0" verticalDpi="0"/>
  <headerFooter>
    <oddHeader>&amp;F</oddHeader>
  </headerFooter>
  <rowBreaks count="1" manualBreakCount="1">
    <brk id="2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115"/>
  <sheetViews>
    <sheetView topLeftCell="H1" workbookViewId="0">
      <pane xSplit="4980" ySplit="840" topLeftCell="E89" activePane="bottomRight"/>
      <selection activeCell="H1" sqref="A1:XFD1"/>
      <selection pane="topRight" activeCell="H1" sqref="H1"/>
      <selection pane="bottomLeft" activeCell="A130" sqref="A109:XFD130"/>
      <selection pane="bottomRight" activeCell="E113" sqref="E113"/>
    </sheetView>
  </sheetViews>
  <sheetFormatPr defaultColWidth="10.6640625" defaultRowHeight="19.899999999999999" x14ac:dyDescent="0.8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8" t="s">
        <v>62</v>
      </c>
    </row>
    <row r="2" spans="1:11" x14ac:dyDescent="0.8">
      <c r="A2" s="10">
        <v>45899</v>
      </c>
      <c r="B2" t="s">
        <v>41</v>
      </c>
      <c r="C2" t="s">
        <v>42</v>
      </c>
      <c r="D2" t="s">
        <v>90</v>
      </c>
      <c r="E2" t="s">
        <v>53</v>
      </c>
      <c r="F2">
        <v>4527</v>
      </c>
      <c r="G2">
        <v>0</v>
      </c>
      <c r="H2">
        <v>-434</v>
      </c>
      <c r="I2">
        <v>403</v>
      </c>
      <c r="J2">
        <v>4496</v>
      </c>
      <c r="K2">
        <f t="shared" ref="K2:K66" si="0">ROUND(F2/3616,0)</f>
        <v>1</v>
      </c>
    </row>
    <row r="3" spans="1:11" x14ac:dyDescent="0.8">
      <c r="A3" s="10">
        <v>45899</v>
      </c>
      <c r="B3" t="s">
        <v>41</v>
      </c>
      <c r="C3" t="s">
        <v>42</v>
      </c>
      <c r="D3" t="s">
        <v>91</v>
      </c>
      <c r="E3" t="s">
        <v>53</v>
      </c>
      <c r="F3">
        <v>4527</v>
      </c>
      <c r="G3">
        <v>-182</v>
      </c>
      <c r="H3">
        <v>-434</v>
      </c>
      <c r="I3">
        <v>585</v>
      </c>
      <c r="J3">
        <v>4496</v>
      </c>
      <c r="K3">
        <f t="shared" si="0"/>
        <v>1</v>
      </c>
    </row>
    <row r="4" spans="1:11" x14ac:dyDescent="0.8">
      <c r="A4" s="10">
        <v>45899</v>
      </c>
      <c r="B4" t="s">
        <v>41</v>
      </c>
      <c r="C4" t="s">
        <v>42</v>
      </c>
      <c r="D4" t="s">
        <v>92</v>
      </c>
      <c r="E4" t="s">
        <v>53</v>
      </c>
      <c r="F4">
        <v>9055</v>
      </c>
      <c r="G4">
        <v>0</v>
      </c>
      <c r="H4">
        <v>-868</v>
      </c>
      <c r="I4">
        <v>805</v>
      </c>
      <c r="J4">
        <v>8992</v>
      </c>
      <c r="K4">
        <f t="shared" si="0"/>
        <v>3</v>
      </c>
    </row>
    <row r="5" spans="1:11" x14ac:dyDescent="0.8">
      <c r="A5" s="10">
        <v>45898</v>
      </c>
      <c r="B5" t="s">
        <v>41</v>
      </c>
      <c r="C5" t="s">
        <v>42</v>
      </c>
      <c r="D5" t="s">
        <v>94</v>
      </c>
      <c r="E5" t="s">
        <v>53</v>
      </c>
      <c r="F5">
        <v>4527</v>
      </c>
      <c r="G5">
        <v>0</v>
      </c>
      <c r="H5">
        <v>-434</v>
      </c>
      <c r="I5">
        <v>403</v>
      </c>
      <c r="J5">
        <v>4496</v>
      </c>
      <c r="K5">
        <f t="shared" si="0"/>
        <v>1</v>
      </c>
    </row>
    <row r="6" spans="1:11" x14ac:dyDescent="0.8">
      <c r="A6" s="10">
        <v>45898</v>
      </c>
      <c r="B6" t="s">
        <v>41</v>
      </c>
      <c r="C6" t="s">
        <v>42</v>
      </c>
      <c r="D6" t="s">
        <v>96</v>
      </c>
      <c r="E6" t="s">
        <v>53</v>
      </c>
      <c r="F6">
        <v>4527</v>
      </c>
      <c r="G6">
        <v>0</v>
      </c>
      <c r="H6">
        <v>-434</v>
      </c>
      <c r="I6">
        <v>403</v>
      </c>
      <c r="J6">
        <v>4496</v>
      </c>
      <c r="K6">
        <f t="shared" si="0"/>
        <v>1</v>
      </c>
    </row>
    <row r="7" spans="1:11" x14ac:dyDescent="0.8">
      <c r="A7" s="10">
        <v>45897</v>
      </c>
      <c r="B7" t="s">
        <v>41</v>
      </c>
      <c r="C7" t="s">
        <v>42</v>
      </c>
      <c r="D7" t="s">
        <v>100</v>
      </c>
      <c r="E7" t="s">
        <v>53</v>
      </c>
      <c r="F7">
        <v>4255</v>
      </c>
      <c r="G7">
        <v>0</v>
      </c>
      <c r="H7">
        <v>-434</v>
      </c>
      <c r="I7">
        <v>378</v>
      </c>
      <c r="J7">
        <v>4199</v>
      </c>
      <c r="K7">
        <f t="shared" si="0"/>
        <v>1</v>
      </c>
    </row>
    <row r="8" spans="1:11" x14ac:dyDescent="0.8">
      <c r="A8" s="10">
        <v>45897</v>
      </c>
      <c r="B8" t="s">
        <v>41</v>
      </c>
      <c r="C8" t="s">
        <v>42</v>
      </c>
      <c r="D8" t="s">
        <v>101</v>
      </c>
      <c r="E8" t="s">
        <v>53</v>
      </c>
      <c r="F8">
        <v>4254</v>
      </c>
      <c r="G8">
        <v>-455</v>
      </c>
      <c r="H8">
        <v>-434</v>
      </c>
      <c r="I8">
        <v>834</v>
      </c>
      <c r="J8">
        <v>4199</v>
      </c>
      <c r="K8">
        <f t="shared" si="0"/>
        <v>1</v>
      </c>
    </row>
    <row r="9" spans="1:11" x14ac:dyDescent="0.8">
      <c r="A9" s="10">
        <v>45897</v>
      </c>
      <c r="B9" t="s">
        <v>41</v>
      </c>
      <c r="C9" t="s">
        <v>42</v>
      </c>
      <c r="D9" t="s">
        <v>102</v>
      </c>
      <c r="E9" t="s">
        <v>53</v>
      </c>
      <c r="F9">
        <v>4255</v>
      </c>
      <c r="G9">
        <v>0</v>
      </c>
      <c r="H9">
        <v>-434</v>
      </c>
      <c r="I9">
        <v>378</v>
      </c>
      <c r="J9">
        <v>4199</v>
      </c>
      <c r="K9">
        <f t="shared" si="0"/>
        <v>1</v>
      </c>
    </row>
    <row r="10" spans="1:11" x14ac:dyDescent="0.8">
      <c r="A10" s="10">
        <v>45897</v>
      </c>
      <c r="B10" t="s">
        <v>41</v>
      </c>
      <c r="C10" t="s">
        <v>42</v>
      </c>
      <c r="D10" t="s">
        <v>103</v>
      </c>
      <c r="E10" t="s">
        <v>53</v>
      </c>
      <c r="F10">
        <v>4255</v>
      </c>
      <c r="G10">
        <v>0</v>
      </c>
      <c r="H10">
        <v>-434</v>
      </c>
      <c r="I10">
        <v>378</v>
      </c>
      <c r="J10">
        <v>4199</v>
      </c>
      <c r="K10">
        <f t="shared" si="0"/>
        <v>1</v>
      </c>
    </row>
    <row r="11" spans="1:11" x14ac:dyDescent="0.8">
      <c r="A11" s="10">
        <v>45896</v>
      </c>
      <c r="B11" t="s">
        <v>41</v>
      </c>
      <c r="C11" t="s">
        <v>42</v>
      </c>
      <c r="D11" t="s">
        <v>105</v>
      </c>
      <c r="E11" t="s">
        <v>53</v>
      </c>
      <c r="F11">
        <v>4255</v>
      </c>
      <c r="G11">
        <v>-227</v>
      </c>
      <c r="H11">
        <v>-434</v>
      </c>
      <c r="I11">
        <v>605</v>
      </c>
      <c r="J11">
        <v>4199</v>
      </c>
      <c r="K11">
        <f t="shared" si="0"/>
        <v>1</v>
      </c>
    </row>
    <row r="12" spans="1:11" x14ac:dyDescent="0.8">
      <c r="A12" s="10">
        <v>45896</v>
      </c>
      <c r="B12" t="s">
        <v>41</v>
      </c>
      <c r="C12" t="s">
        <v>42</v>
      </c>
      <c r="D12" t="s">
        <v>107</v>
      </c>
      <c r="E12" t="s">
        <v>53</v>
      </c>
      <c r="F12">
        <v>8509</v>
      </c>
      <c r="G12">
        <v>0</v>
      </c>
      <c r="H12">
        <v>-868</v>
      </c>
      <c r="I12">
        <v>757</v>
      </c>
      <c r="J12">
        <v>8398</v>
      </c>
      <c r="K12">
        <f t="shared" si="0"/>
        <v>2</v>
      </c>
    </row>
    <row r="13" spans="1:11" x14ac:dyDescent="0.8">
      <c r="A13" s="10">
        <v>45895</v>
      </c>
      <c r="B13" t="s">
        <v>41</v>
      </c>
      <c r="C13" t="s">
        <v>42</v>
      </c>
      <c r="D13" t="s">
        <v>108</v>
      </c>
      <c r="E13" t="s">
        <v>53</v>
      </c>
      <c r="F13">
        <v>8509</v>
      </c>
      <c r="G13">
        <v>-182</v>
      </c>
      <c r="H13">
        <v>-868</v>
      </c>
      <c r="I13">
        <v>939</v>
      </c>
      <c r="J13">
        <v>8398</v>
      </c>
      <c r="K13">
        <f t="shared" si="0"/>
        <v>2</v>
      </c>
    </row>
    <row r="14" spans="1:11" x14ac:dyDescent="0.8">
      <c r="A14" s="10">
        <v>45895</v>
      </c>
      <c r="B14" t="s">
        <v>41</v>
      </c>
      <c r="C14" t="s">
        <v>42</v>
      </c>
      <c r="D14" t="s">
        <v>111</v>
      </c>
      <c r="E14" t="s">
        <v>53</v>
      </c>
      <c r="F14">
        <v>4255</v>
      </c>
      <c r="G14">
        <v>0</v>
      </c>
      <c r="H14">
        <v>-434</v>
      </c>
      <c r="I14">
        <v>378</v>
      </c>
      <c r="J14">
        <v>4199</v>
      </c>
      <c r="K14">
        <f t="shared" si="0"/>
        <v>1</v>
      </c>
    </row>
    <row r="15" spans="1:11" x14ac:dyDescent="0.8">
      <c r="A15" s="10">
        <v>45894</v>
      </c>
      <c r="B15" t="s">
        <v>41</v>
      </c>
      <c r="C15" t="s">
        <v>42</v>
      </c>
      <c r="D15" t="s">
        <v>112</v>
      </c>
      <c r="E15" t="s">
        <v>53</v>
      </c>
      <c r="F15">
        <v>4255</v>
      </c>
      <c r="G15">
        <v>0</v>
      </c>
      <c r="H15">
        <v>-434</v>
      </c>
      <c r="I15">
        <v>378</v>
      </c>
      <c r="J15">
        <v>4199</v>
      </c>
      <c r="K15">
        <f t="shared" si="0"/>
        <v>1</v>
      </c>
    </row>
    <row r="16" spans="1:11" x14ac:dyDescent="0.8">
      <c r="A16" s="10">
        <v>45894</v>
      </c>
      <c r="B16" t="s">
        <v>41</v>
      </c>
      <c r="C16" t="s">
        <v>42</v>
      </c>
      <c r="D16" t="s">
        <v>113</v>
      </c>
      <c r="E16" t="s">
        <v>53</v>
      </c>
      <c r="F16">
        <v>4255</v>
      </c>
      <c r="G16">
        <v>0</v>
      </c>
      <c r="H16">
        <v>-434</v>
      </c>
      <c r="I16">
        <v>378</v>
      </c>
      <c r="J16">
        <v>4199</v>
      </c>
      <c r="K16">
        <f t="shared" si="0"/>
        <v>1</v>
      </c>
    </row>
    <row r="17" spans="1:11" x14ac:dyDescent="0.8">
      <c r="A17" s="10">
        <v>45893</v>
      </c>
      <c r="B17" t="s">
        <v>41</v>
      </c>
      <c r="C17" t="s">
        <v>42</v>
      </c>
      <c r="D17" t="s">
        <v>114</v>
      </c>
      <c r="E17" t="s">
        <v>53</v>
      </c>
      <c r="F17">
        <v>4255</v>
      </c>
      <c r="G17">
        <v>0</v>
      </c>
      <c r="H17">
        <v>-434</v>
      </c>
      <c r="I17">
        <v>378</v>
      </c>
      <c r="J17">
        <v>4199</v>
      </c>
      <c r="K17">
        <f t="shared" si="0"/>
        <v>1</v>
      </c>
    </row>
    <row r="18" spans="1:11" x14ac:dyDescent="0.8">
      <c r="A18" s="10">
        <v>45892</v>
      </c>
      <c r="B18" t="s">
        <v>41</v>
      </c>
      <c r="C18" t="s">
        <v>42</v>
      </c>
      <c r="D18" t="s">
        <v>115</v>
      </c>
      <c r="E18" t="s">
        <v>53</v>
      </c>
      <c r="F18">
        <v>4255</v>
      </c>
      <c r="G18">
        <v>0</v>
      </c>
      <c r="H18">
        <v>-434</v>
      </c>
      <c r="I18">
        <v>378</v>
      </c>
      <c r="J18">
        <v>4199</v>
      </c>
      <c r="K18">
        <f t="shared" si="0"/>
        <v>1</v>
      </c>
    </row>
    <row r="19" spans="1:11" x14ac:dyDescent="0.8">
      <c r="A19" s="10">
        <v>45892</v>
      </c>
      <c r="B19" t="s">
        <v>41</v>
      </c>
      <c r="C19" t="s">
        <v>42</v>
      </c>
      <c r="D19" t="s">
        <v>116</v>
      </c>
      <c r="E19" t="s">
        <v>53</v>
      </c>
      <c r="F19">
        <v>4255</v>
      </c>
      <c r="G19">
        <v>0</v>
      </c>
      <c r="H19">
        <v>-434</v>
      </c>
      <c r="I19">
        <v>378</v>
      </c>
      <c r="J19">
        <v>4199</v>
      </c>
      <c r="K19">
        <f t="shared" si="0"/>
        <v>1</v>
      </c>
    </row>
    <row r="20" spans="1:11" x14ac:dyDescent="0.8">
      <c r="A20" s="10">
        <v>45892</v>
      </c>
      <c r="B20" t="s">
        <v>41</v>
      </c>
      <c r="C20" t="s">
        <v>42</v>
      </c>
      <c r="D20" t="s">
        <v>117</v>
      </c>
      <c r="E20" t="s">
        <v>53</v>
      </c>
      <c r="F20">
        <v>4255</v>
      </c>
      <c r="G20">
        <v>0</v>
      </c>
      <c r="H20">
        <v>-434</v>
      </c>
      <c r="I20">
        <v>378</v>
      </c>
      <c r="J20">
        <v>4199</v>
      </c>
      <c r="K20">
        <f t="shared" si="0"/>
        <v>1</v>
      </c>
    </row>
    <row r="21" spans="1:11" x14ac:dyDescent="0.8">
      <c r="A21" s="10">
        <v>45890</v>
      </c>
      <c r="B21" t="s">
        <v>41</v>
      </c>
      <c r="C21" t="s">
        <v>42</v>
      </c>
      <c r="D21" t="s">
        <v>118</v>
      </c>
      <c r="E21" t="s">
        <v>53</v>
      </c>
      <c r="F21">
        <v>8510</v>
      </c>
      <c r="G21">
        <v>-1418</v>
      </c>
      <c r="H21">
        <v>-868</v>
      </c>
      <c r="I21">
        <v>1324</v>
      </c>
      <c r="J21">
        <v>7548</v>
      </c>
      <c r="K21">
        <f t="shared" si="0"/>
        <v>2</v>
      </c>
    </row>
    <row r="22" spans="1:11" x14ac:dyDescent="0.8">
      <c r="A22" s="10">
        <v>45890</v>
      </c>
      <c r="B22" t="s">
        <v>41</v>
      </c>
      <c r="C22" t="s">
        <v>42</v>
      </c>
      <c r="D22" t="s">
        <v>119</v>
      </c>
      <c r="E22" t="s">
        <v>53</v>
      </c>
      <c r="F22">
        <v>8510</v>
      </c>
      <c r="G22">
        <v>-1418</v>
      </c>
      <c r="H22">
        <v>-868</v>
      </c>
      <c r="I22">
        <v>1324</v>
      </c>
      <c r="J22">
        <v>7548</v>
      </c>
      <c r="K22">
        <f t="shared" si="0"/>
        <v>2</v>
      </c>
    </row>
    <row r="23" spans="1:11" x14ac:dyDescent="0.8">
      <c r="A23" s="10">
        <v>45888</v>
      </c>
      <c r="B23" t="s">
        <v>41</v>
      </c>
      <c r="C23" t="s">
        <v>42</v>
      </c>
      <c r="D23" t="s">
        <v>120</v>
      </c>
      <c r="E23" t="s">
        <v>53</v>
      </c>
      <c r="F23">
        <v>4255</v>
      </c>
      <c r="G23">
        <v>0</v>
      </c>
      <c r="H23">
        <v>-434</v>
      </c>
      <c r="I23">
        <v>378</v>
      </c>
      <c r="J23">
        <v>4199</v>
      </c>
      <c r="K23">
        <f t="shared" si="0"/>
        <v>1</v>
      </c>
    </row>
    <row r="24" spans="1:11" x14ac:dyDescent="0.8">
      <c r="A24" s="10">
        <v>45888</v>
      </c>
      <c r="B24" t="s">
        <v>41</v>
      </c>
      <c r="C24" t="s">
        <v>42</v>
      </c>
      <c r="D24" t="s">
        <v>121</v>
      </c>
      <c r="E24" t="s">
        <v>53</v>
      </c>
      <c r="F24">
        <v>4255</v>
      </c>
      <c r="G24">
        <v>0</v>
      </c>
      <c r="H24">
        <v>-2517</v>
      </c>
      <c r="I24">
        <v>2036</v>
      </c>
      <c r="J24">
        <v>3774</v>
      </c>
      <c r="K24">
        <f t="shared" si="0"/>
        <v>1</v>
      </c>
    </row>
    <row r="25" spans="1:11" x14ac:dyDescent="0.8">
      <c r="A25" s="10">
        <v>45887</v>
      </c>
      <c r="B25" t="s">
        <v>41</v>
      </c>
      <c r="C25" t="s">
        <v>42</v>
      </c>
      <c r="D25" t="s">
        <v>122</v>
      </c>
      <c r="E25" t="s">
        <v>53</v>
      </c>
      <c r="F25">
        <v>4255</v>
      </c>
      <c r="G25">
        <v>0</v>
      </c>
      <c r="H25">
        <v>-434</v>
      </c>
      <c r="I25">
        <v>378</v>
      </c>
      <c r="J25">
        <v>4199</v>
      </c>
      <c r="K25">
        <f t="shared" si="0"/>
        <v>1</v>
      </c>
    </row>
    <row r="26" spans="1:11" x14ac:dyDescent="0.8">
      <c r="A26" s="10">
        <v>45887</v>
      </c>
      <c r="B26" t="s">
        <v>41</v>
      </c>
      <c r="C26" t="s">
        <v>42</v>
      </c>
      <c r="D26" t="s">
        <v>123</v>
      </c>
      <c r="E26" t="s">
        <v>53</v>
      </c>
      <c r="F26">
        <v>4255</v>
      </c>
      <c r="G26">
        <v>0</v>
      </c>
      <c r="H26">
        <v>-434</v>
      </c>
      <c r="I26">
        <v>378</v>
      </c>
      <c r="J26">
        <v>4199</v>
      </c>
      <c r="K26">
        <f t="shared" si="0"/>
        <v>1</v>
      </c>
    </row>
    <row r="27" spans="1:11" x14ac:dyDescent="0.8">
      <c r="A27" s="10">
        <v>45886</v>
      </c>
      <c r="B27" t="s">
        <v>41</v>
      </c>
      <c r="C27" t="s">
        <v>42</v>
      </c>
      <c r="D27" t="s">
        <v>124</v>
      </c>
      <c r="E27" t="s">
        <v>53</v>
      </c>
      <c r="F27">
        <v>4255</v>
      </c>
      <c r="G27">
        <v>0</v>
      </c>
      <c r="H27">
        <v>-434</v>
      </c>
      <c r="I27">
        <v>378</v>
      </c>
      <c r="J27">
        <v>4199</v>
      </c>
      <c r="K27">
        <f t="shared" si="0"/>
        <v>1</v>
      </c>
    </row>
    <row r="28" spans="1:11" x14ac:dyDescent="0.8">
      <c r="A28" s="10">
        <v>45886</v>
      </c>
      <c r="B28" t="s">
        <v>41</v>
      </c>
      <c r="C28" t="s">
        <v>42</v>
      </c>
      <c r="D28" t="s">
        <v>125</v>
      </c>
      <c r="E28" t="s">
        <v>53</v>
      </c>
      <c r="F28">
        <v>4255</v>
      </c>
      <c r="G28">
        <v>0</v>
      </c>
      <c r="H28">
        <v>-434</v>
      </c>
      <c r="I28">
        <v>378</v>
      </c>
      <c r="J28">
        <v>4199</v>
      </c>
      <c r="K28">
        <f t="shared" si="0"/>
        <v>1</v>
      </c>
    </row>
    <row r="29" spans="1:11" x14ac:dyDescent="0.8">
      <c r="A29" s="10">
        <v>45886</v>
      </c>
      <c r="B29" t="s">
        <v>41</v>
      </c>
      <c r="C29" t="s">
        <v>42</v>
      </c>
      <c r="D29" t="s">
        <v>126</v>
      </c>
      <c r="E29" t="s">
        <v>53</v>
      </c>
      <c r="F29">
        <v>4255</v>
      </c>
      <c r="G29">
        <v>0</v>
      </c>
      <c r="H29">
        <v>-434</v>
      </c>
      <c r="I29">
        <v>378</v>
      </c>
      <c r="J29">
        <v>4199</v>
      </c>
      <c r="K29">
        <f t="shared" si="0"/>
        <v>1</v>
      </c>
    </row>
    <row r="30" spans="1:11" x14ac:dyDescent="0.8">
      <c r="A30" s="10">
        <v>45886</v>
      </c>
      <c r="B30" t="s">
        <v>41</v>
      </c>
      <c r="C30" t="s">
        <v>42</v>
      </c>
      <c r="D30" t="s">
        <v>127</v>
      </c>
      <c r="E30" t="s">
        <v>53</v>
      </c>
      <c r="F30">
        <v>4254</v>
      </c>
      <c r="G30">
        <v>0</v>
      </c>
      <c r="H30">
        <v>-788</v>
      </c>
      <c r="I30">
        <v>733</v>
      </c>
      <c r="J30">
        <v>4199</v>
      </c>
      <c r="K30">
        <f t="shared" si="0"/>
        <v>1</v>
      </c>
    </row>
    <row r="31" spans="1:11" x14ac:dyDescent="0.8">
      <c r="A31" s="10">
        <v>45886</v>
      </c>
      <c r="B31" t="s">
        <v>41</v>
      </c>
      <c r="C31" t="s">
        <v>42</v>
      </c>
      <c r="D31" t="s">
        <v>128</v>
      </c>
      <c r="E31" t="s">
        <v>53</v>
      </c>
      <c r="F31">
        <v>4255</v>
      </c>
      <c r="G31">
        <v>-606</v>
      </c>
      <c r="H31">
        <v>-434</v>
      </c>
      <c r="I31">
        <v>559</v>
      </c>
      <c r="J31">
        <v>3774</v>
      </c>
      <c r="K31">
        <f t="shared" si="0"/>
        <v>1</v>
      </c>
    </row>
    <row r="32" spans="1:11" x14ac:dyDescent="0.8">
      <c r="A32" s="10">
        <v>45885</v>
      </c>
      <c r="B32" t="s">
        <v>41</v>
      </c>
      <c r="C32" t="s">
        <v>42</v>
      </c>
      <c r="D32" t="s">
        <v>129</v>
      </c>
      <c r="E32" t="s">
        <v>53</v>
      </c>
      <c r="F32">
        <v>8509</v>
      </c>
      <c r="G32">
        <v>0</v>
      </c>
      <c r="H32">
        <v>-868</v>
      </c>
      <c r="I32">
        <v>757</v>
      </c>
      <c r="J32">
        <v>8398</v>
      </c>
      <c r="K32">
        <f t="shared" si="0"/>
        <v>2</v>
      </c>
    </row>
    <row r="33" spans="1:11" x14ac:dyDescent="0.8">
      <c r="A33" s="10">
        <v>45885</v>
      </c>
      <c r="B33" t="s">
        <v>41</v>
      </c>
      <c r="C33" t="s">
        <v>42</v>
      </c>
      <c r="D33" t="s">
        <v>130</v>
      </c>
      <c r="E33" t="s">
        <v>53</v>
      </c>
      <c r="F33">
        <v>8509</v>
      </c>
      <c r="G33">
        <v>0</v>
      </c>
      <c r="H33">
        <v>-868</v>
      </c>
      <c r="I33">
        <v>757</v>
      </c>
      <c r="J33">
        <v>8398</v>
      </c>
      <c r="K33">
        <f t="shared" si="0"/>
        <v>2</v>
      </c>
    </row>
    <row r="34" spans="1:11" x14ac:dyDescent="0.8">
      <c r="A34" s="10">
        <v>45884</v>
      </c>
      <c r="B34" t="s">
        <v>41</v>
      </c>
      <c r="C34" t="s">
        <v>42</v>
      </c>
      <c r="D34" t="s">
        <v>131</v>
      </c>
      <c r="E34" t="s">
        <v>53</v>
      </c>
      <c r="F34">
        <v>4255</v>
      </c>
      <c r="G34">
        <v>0</v>
      </c>
      <c r="H34">
        <v>-434</v>
      </c>
      <c r="I34">
        <v>378</v>
      </c>
      <c r="J34">
        <v>4199</v>
      </c>
      <c r="K34">
        <f t="shared" si="0"/>
        <v>1</v>
      </c>
    </row>
    <row r="35" spans="1:11" x14ac:dyDescent="0.8">
      <c r="A35" s="10">
        <v>45884</v>
      </c>
      <c r="B35" t="s">
        <v>41</v>
      </c>
      <c r="C35" t="s">
        <v>42</v>
      </c>
      <c r="D35" t="s">
        <v>132</v>
      </c>
      <c r="E35" t="s">
        <v>53</v>
      </c>
      <c r="F35">
        <v>4255</v>
      </c>
      <c r="G35">
        <v>0</v>
      </c>
      <c r="H35">
        <v>-434</v>
      </c>
      <c r="I35">
        <v>378</v>
      </c>
      <c r="J35">
        <v>4199</v>
      </c>
      <c r="K35">
        <f t="shared" si="0"/>
        <v>1</v>
      </c>
    </row>
    <row r="36" spans="1:11" x14ac:dyDescent="0.8">
      <c r="A36" s="10">
        <v>45884</v>
      </c>
      <c r="B36" t="s">
        <v>41</v>
      </c>
      <c r="C36" t="s">
        <v>42</v>
      </c>
      <c r="D36" t="s">
        <v>133</v>
      </c>
      <c r="E36" t="s">
        <v>53</v>
      </c>
      <c r="F36">
        <v>8509</v>
      </c>
      <c r="G36">
        <v>0</v>
      </c>
      <c r="H36">
        <v>-868</v>
      </c>
      <c r="I36">
        <v>757</v>
      </c>
      <c r="J36">
        <v>8398</v>
      </c>
      <c r="K36">
        <f t="shared" si="0"/>
        <v>2</v>
      </c>
    </row>
    <row r="37" spans="1:11" x14ac:dyDescent="0.8">
      <c r="A37" s="10">
        <v>45883</v>
      </c>
      <c r="B37" t="s">
        <v>41</v>
      </c>
      <c r="C37" t="s">
        <v>42</v>
      </c>
      <c r="D37" t="s">
        <v>134</v>
      </c>
      <c r="E37" t="s">
        <v>53</v>
      </c>
      <c r="F37">
        <v>4255</v>
      </c>
      <c r="G37">
        <v>0</v>
      </c>
      <c r="H37">
        <v>-434</v>
      </c>
      <c r="I37">
        <v>378</v>
      </c>
      <c r="J37">
        <v>4199</v>
      </c>
      <c r="K37">
        <f t="shared" si="0"/>
        <v>1</v>
      </c>
    </row>
    <row r="38" spans="1:11" x14ac:dyDescent="0.8">
      <c r="A38" s="10">
        <v>45883</v>
      </c>
      <c r="B38" t="s">
        <v>41</v>
      </c>
      <c r="C38" t="s">
        <v>42</v>
      </c>
      <c r="D38" t="s">
        <v>135</v>
      </c>
      <c r="E38" t="s">
        <v>53</v>
      </c>
      <c r="F38">
        <v>4255</v>
      </c>
      <c r="G38">
        <v>0</v>
      </c>
      <c r="H38">
        <v>-434</v>
      </c>
      <c r="I38">
        <v>378</v>
      </c>
      <c r="J38">
        <v>4199</v>
      </c>
      <c r="K38">
        <f t="shared" si="0"/>
        <v>1</v>
      </c>
    </row>
    <row r="39" spans="1:11" x14ac:dyDescent="0.8">
      <c r="A39" s="10">
        <v>45883</v>
      </c>
      <c r="B39" t="s">
        <v>41</v>
      </c>
      <c r="C39" t="s">
        <v>42</v>
      </c>
      <c r="D39" t="s">
        <v>136</v>
      </c>
      <c r="E39" t="s">
        <v>53</v>
      </c>
      <c r="F39">
        <v>4255</v>
      </c>
      <c r="G39">
        <v>0</v>
      </c>
      <c r="H39">
        <v>-434</v>
      </c>
      <c r="I39">
        <v>378</v>
      </c>
      <c r="J39">
        <v>4199</v>
      </c>
      <c r="K39">
        <f t="shared" si="0"/>
        <v>1</v>
      </c>
    </row>
    <row r="40" spans="1:11" x14ac:dyDescent="0.8">
      <c r="A40" s="10">
        <v>45883</v>
      </c>
      <c r="B40" t="s">
        <v>41</v>
      </c>
      <c r="C40" t="s">
        <v>42</v>
      </c>
      <c r="D40" t="s">
        <v>137</v>
      </c>
      <c r="E40" t="s">
        <v>53</v>
      </c>
      <c r="F40">
        <v>4255</v>
      </c>
      <c r="G40">
        <v>0</v>
      </c>
      <c r="H40">
        <v>-434</v>
      </c>
      <c r="I40">
        <v>378</v>
      </c>
      <c r="J40">
        <v>4199</v>
      </c>
      <c r="K40">
        <f t="shared" si="0"/>
        <v>1</v>
      </c>
    </row>
    <row r="41" spans="1:11" x14ac:dyDescent="0.8">
      <c r="A41" s="10">
        <v>45882</v>
      </c>
      <c r="B41" t="s">
        <v>41</v>
      </c>
      <c r="C41" t="s">
        <v>42</v>
      </c>
      <c r="D41" t="s">
        <v>138</v>
      </c>
      <c r="E41" t="s">
        <v>53</v>
      </c>
      <c r="F41">
        <v>4255</v>
      </c>
      <c r="G41">
        <v>0</v>
      </c>
      <c r="H41">
        <v>-434</v>
      </c>
      <c r="I41">
        <v>378</v>
      </c>
      <c r="J41">
        <v>4199</v>
      </c>
      <c r="K41">
        <f t="shared" si="0"/>
        <v>1</v>
      </c>
    </row>
    <row r="42" spans="1:11" x14ac:dyDescent="0.8">
      <c r="A42" s="10">
        <v>45882</v>
      </c>
      <c r="B42" t="s">
        <v>41</v>
      </c>
      <c r="C42" t="s">
        <v>61</v>
      </c>
      <c r="D42" t="s">
        <v>72</v>
      </c>
      <c r="E42" t="s">
        <v>53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</row>
    <row r="43" spans="1:11" x14ac:dyDescent="0.8">
      <c r="A43" s="10">
        <v>45882</v>
      </c>
      <c r="B43" t="s">
        <v>41</v>
      </c>
      <c r="C43" t="s">
        <v>42</v>
      </c>
      <c r="D43" t="s">
        <v>139</v>
      </c>
      <c r="E43" t="s">
        <v>53</v>
      </c>
      <c r="F43">
        <v>4255</v>
      </c>
      <c r="G43">
        <v>0</v>
      </c>
      <c r="H43">
        <v>-434</v>
      </c>
      <c r="I43">
        <v>378</v>
      </c>
      <c r="J43">
        <v>4199</v>
      </c>
      <c r="K43">
        <f t="shared" si="0"/>
        <v>1</v>
      </c>
    </row>
    <row r="44" spans="1:11" x14ac:dyDescent="0.8">
      <c r="A44" s="10">
        <v>45882</v>
      </c>
      <c r="B44" t="s">
        <v>41</v>
      </c>
      <c r="C44" t="s">
        <v>42</v>
      </c>
      <c r="D44" t="s">
        <v>66</v>
      </c>
      <c r="E44" t="s">
        <v>53</v>
      </c>
      <c r="F44">
        <v>17020</v>
      </c>
      <c r="G44">
        <v>0</v>
      </c>
      <c r="H44">
        <v>-6392</v>
      </c>
      <c r="I44">
        <v>1300</v>
      </c>
      <c r="J44">
        <v>11928</v>
      </c>
      <c r="K44">
        <f t="shared" si="0"/>
        <v>5</v>
      </c>
    </row>
    <row r="45" spans="1:11" x14ac:dyDescent="0.8">
      <c r="A45" s="10">
        <v>45882</v>
      </c>
      <c r="B45" t="s">
        <v>41</v>
      </c>
      <c r="C45" t="s">
        <v>42</v>
      </c>
      <c r="D45" t="s">
        <v>140</v>
      </c>
      <c r="E45" t="s">
        <v>53</v>
      </c>
      <c r="F45">
        <v>4255</v>
      </c>
      <c r="G45">
        <v>0</v>
      </c>
      <c r="H45">
        <v>-434</v>
      </c>
      <c r="I45">
        <v>378</v>
      </c>
      <c r="J45">
        <v>4199</v>
      </c>
      <c r="K45">
        <f t="shared" si="0"/>
        <v>1</v>
      </c>
    </row>
    <row r="46" spans="1:11" x14ac:dyDescent="0.8">
      <c r="A46" s="10">
        <v>45882</v>
      </c>
      <c r="B46" t="s">
        <v>41</v>
      </c>
      <c r="C46" t="s">
        <v>42</v>
      </c>
      <c r="D46" t="s">
        <v>141</v>
      </c>
      <c r="E46" t="s">
        <v>53</v>
      </c>
      <c r="F46">
        <v>4255</v>
      </c>
      <c r="G46">
        <v>0</v>
      </c>
      <c r="H46">
        <v>-434</v>
      </c>
      <c r="I46">
        <v>378</v>
      </c>
      <c r="J46">
        <v>4199</v>
      </c>
      <c r="K46">
        <f t="shared" si="0"/>
        <v>1</v>
      </c>
    </row>
    <row r="47" spans="1:11" x14ac:dyDescent="0.8">
      <c r="A47" s="10">
        <v>45882</v>
      </c>
      <c r="B47" t="s">
        <v>41</v>
      </c>
      <c r="C47" t="s">
        <v>42</v>
      </c>
      <c r="D47" t="s">
        <v>142</v>
      </c>
      <c r="E47" t="s">
        <v>53</v>
      </c>
      <c r="F47">
        <v>4255</v>
      </c>
      <c r="G47">
        <v>0</v>
      </c>
      <c r="H47">
        <v>-434</v>
      </c>
      <c r="I47">
        <v>378</v>
      </c>
      <c r="J47">
        <v>4199</v>
      </c>
      <c r="K47">
        <f t="shared" si="0"/>
        <v>1</v>
      </c>
    </row>
    <row r="48" spans="1:11" x14ac:dyDescent="0.8">
      <c r="A48" s="10">
        <v>45881</v>
      </c>
      <c r="B48" t="s">
        <v>41</v>
      </c>
      <c r="C48" t="s">
        <v>42</v>
      </c>
      <c r="D48" t="s">
        <v>143</v>
      </c>
      <c r="E48" t="s">
        <v>53</v>
      </c>
      <c r="F48">
        <v>4255</v>
      </c>
      <c r="G48">
        <v>0</v>
      </c>
      <c r="H48">
        <v>-434</v>
      </c>
      <c r="I48">
        <v>378</v>
      </c>
      <c r="J48">
        <v>4199</v>
      </c>
      <c r="K48">
        <f t="shared" si="0"/>
        <v>1</v>
      </c>
    </row>
    <row r="49" spans="1:11" x14ac:dyDescent="0.8">
      <c r="A49" s="10">
        <v>45881</v>
      </c>
      <c r="B49" t="s">
        <v>41</v>
      </c>
      <c r="C49" t="s">
        <v>42</v>
      </c>
      <c r="D49" t="s">
        <v>144</v>
      </c>
      <c r="E49" t="s">
        <v>53</v>
      </c>
      <c r="F49">
        <v>4255</v>
      </c>
      <c r="G49">
        <v>0</v>
      </c>
      <c r="H49">
        <v>-434</v>
      </c>
      <c r="I49">
        <v>378</v>
      </c>
      <c r="J49">
        <v>4199</v>
      </c>
      <c r="K49">
        <f t="shared" si="0"/>
        <v>1</v>
      </c>
    </row>
    <row r="50" spans="1:11" x14ac:dyDescent="0.8">
      <c r="A50" s="10">
        <v>45881</v>
      </c>
      <c r="B50" t="s">
        <v>41</v>
      </c>
      <c r="C50" t="s">
        <v>42</v>
      </c>
      <c r="D50" t="s">
        <v>72</v>
      </c>
      <c r="E50" t="s">
        <v>53</v>
      </c>
      <c r="F50">
        <v>4255</v>
      </c>
      <c r="G50">
        <v>-501</v>
      </c>
      <c r="H50">
        <v>-1128</v>
      </c>
      <c r="I50">
        <v>454</v>
      </c>
      <c r="J50">
        <v>3080</v>
      </c>
      <c r="K50">
        <f t="shared" si="0"/>
        <v>1</v>
      </c>
    </row>
    <row r="51" spans="1:11" x14ac:dyDescent="0.8">
      <c r="A51" s="10">
        <v>45880</v>
      </c>
      <c r="B51" t="s">
        <v>41</v>
      </c>
      <c r="C51" t="s">
        <v>42</v>
      </c>
      <c r="D51" t="s">
        <v>145</v>
      </c>
      <c r="E51" t="s">
        <v>53</v>
      </c>
      <c r="F51">
        <v>8509</v>
      </c>
      <c r="G51">
        <v>0</v>
      </c>
      <c r="H51">
        <v>-868</v>
      </c>
      <c r="I51">
        <v>757</v>
      </c>
      <c r="J51">
        <v>8398</v>
      </c>
      <c r="K51">
        <f t="shared" si="0"/>
        <v>2</v>
      </c>
    </row>
    <row r="52" spans="1:11" x14ac:dyDescent="0.8">
      <c r="A52" s="10">
        <v>45880</v>
      </c>
      <c r="B52" t="s">
        <v>41</v>
      </c>
      <c r="C52" t="s">
        <v>42</v>
      </c>
      <c r="D52" t="s">
        <v>70</v>
      </c>
      <c r="E52" t="s">
        <v>53</v>
      </c>
      <c r="F52">
        <v>4255</v>
      </c>
      <c r="G52">
        <v>-709</v>
      </c>
      <c r="H52">
        <v>-1128</v>
      </c>
      <c r="I52">
        <v>662</v>
      </c>
      <c r="J52">
        <v>3080</v>
      </c>
      <c r="K52">
        <f t="shared" si="0"/>
        <v>1</v>
      </c>
    </row>
    <row r="53" spans="1:11" x14ac:dyDescent="0.8">
      <c r="A53" s="10">
        <v>45879</v>
      </c>
      <c r="B53" t="s">
        <v>41</v>
      </c>
      <c r="C53" t="s">
        <v>42</v>
      </c>
      <c r="D53" t="s">
        <v>146</v>
      </c>
      <c r="E53" t="s">
        <v>53</v>
      </c>
      <c r="F53">
        <v>4255</v>
      </c>
      <c r="G53">
        <v>0</v>
      </c>
      <c r="H53">
        <v>-434</v>
      </c>
      <c r="I53">
        <v>378</v>
      </c>
      <c r="J53">
        <v>4199</v>
      </c>
      <c r="K53">
        <f t="shared" si="0"/>
        <v>1</v>
      </c>
    </row>
    <row r="54" spans="1:11" x14ac:dyDescent="0.8">
      <c r="A54" s="10">
        <v>45879</v>
      </c>
      <c r="B54" t="s">
        <v>41</v>
      </c>
      <c r="C54" t="s">
        <v>42</v>
      </c>
      <c r="D54" t="s">
        <v>147</v>
      </c>
      <c r="E54" t="s">
        <v>53</v>
      </c>
      <c r="F54">
        <v>4255</v>
      </c>
      <c r="G54">
        <v>0</v>
      </c>
      <c r="H54">
        <v>-1199</v>
      </c>
      <c r="I54">
        <v>378</v>
      </c>
      <c r="J54">
        <v>3434</v>
      </c>
      <c r="K54">
        <f t="shared" si="0"/>
        <v>1</v>
      </c>
    </row>
    <row r="55" spans="1:11" x14ac:dyDescent="0.8">
      <c r="A55" s="10">
        <v>45878</v>
      </c>
      <c r="B55" t="s">
        <v>41</v>
      </c>
      <c r="C55" t="s">
        <v>54</v>
      </c>
      <c r="D55" t="s">
        <v>55</v>
      </c>
      <c r="E55" t="s">
        <v>57</v>
      </c>
      <c r="F55">
        <v>0</v>
      </c>
      <c r="G55">
        <v>0</v>
      </c>
      <c r="H55">
        <v>-5390</v>
      </c>
      <c r="I55">
        <v>0</v>
      </c>
      <c r="J55">
        <v>-5390</v>
      </c>
      <c r="K55">
        <f t="shared" si="0"/>
        <v>0</v>
      </c>
    </row>
    <row r="56" spans="1:11" x14ac:dyDescent="0.8">
      <c r="A56" s="10">
        <v>45878</v>
      </c>
      <c r="B56" t="s">
        <v>41</v>
      </c>
      <c r="C56" t="s">
        <v>42</v>
      </c>
      <c r="D56" t="s">
        <v>148</v>
      </c>
      <c r="E56" t="s">
        <v>53</v>
      </c>
      <c r="F56">
        <v>8509</v>
      </c>
      <c r="G56">
        <v>0</v>
      </c>
      <c r="H56">
        <v>-2397</v>
      </c>
      <c r="I56">
        <v>757</v>
      </c>
      <c r="J56">
        <v>6869</v>
      </c>
      <c r="K56">
        <f t="shared" si="0"/>
        <v>2</v>
      </c>
    </row>
    <row r="57" spans="1:11" x14ac:dyDescent="0.8">
      <c r="A57" s="10">
        <v>45878</v>
      </c>
      <c r="B57" t="s">
        <v>41</v>
      </c>
      <c r="C57" t="s">
        <v>42</v>
      </c>
      <c r="D57" t="s">
        <v>149</v>
      </c>
      <c r="E57" t="s">
        <v>53</v>
      </c>
      <c r="F57">
        <v>4255</v>
      </c>
      <c r="G57">
        <v>0</v>
      </c>
      <c r="H57">
        <v>-1199</v>
      </c>
      <c r="I57">
        <v>378</v>
      </c>
      <c r="J57">
        <v>3434</v>
      </c>
      <c r="K57">
        <f t="shared" si="0"/>
        <v>1</v>
      </c>
    </row>
    <row r="58" spans="1:11" x14ac:dyDescent="0.8">
      <c r="A58" s="10">
        <v>45878</v>
      </c>
      <c r="B58" t="s">
        <v>41</v>
      </c>
      <c r="C58" t="s">
        <v>42</v>
      </c>
      <c r="D58" t="s">
        <v>71</v>
      </c>
      <c r="E58" t="s">
        <v>53</v>
      </c>
      <c r="F58">
        <v>12765</v>
      </c>
      <c r="G58">
        <v>-1818</v>
      </c>
      <c r="H58">
        <v>-3384</v>
      </c>
      <c r="I58">
        <v>1677</v>
      </c>
      <c r="J58">
        <v>9240</v>
      </c>
      <c r="K58">
        <f t="shared" si="0"/>
        <v>4</v>
      </c>
    </row>
    <row r="59" spans="1:11" x14ac:dyDescent="0.8">
      <c r="A59" s="10">
        <v>45878</v>
      </c>
      <c r="B59" t="s">
        <v>41</v>
      </c>
      <c r="C59" t="s">
        <v>42</v>
      </c>
      <c r="D59" t="s">
        <v>65</v>
      </c>
      <c r="E59" t="s">
        <v>53</v>
      </c>
      <c r="F59">
        <v>4254</v>
      </c>
      <c r="G59">
        <v>-182</v>
      </c>
      <c r="H59">
        <v>-1199</v>
      </c>
      <c r="I59">
        <v>561</v>
      </c>
      <c r="J59">
        <v>3434</v>
      </c>
      <c r="K59">
        <f t="shared" si="0"/>
        <v>1</v>
      </c>
    </row>
    <row r="60" spans="1:11" x14ac:dyDescent="0.8">
      <c r="A60" s="10">
        <v>45878</v>
      </c>
      <c r="B60" t="s">
        <v>41</v>
      </c>
      <c r="C60" t="s">
        <v>42</v>
      </c>
      <c r="D60" t="s">
        <v>67</v>
      </c>
      <c r="E60" t="s">
        <v>53</v>
      </c>
      <c r="F60">
        <v>4255</v>
      </c>
      <c r="G60">
        <v>0</v>
      </c>
      <c r="H60">
        <v>-1199</v>
      </c>
      <c r="I60">
        <v>378</v>
      </c>
      <c r="J60">
        <v>3434</v>
      </c>
      <c r="K60">
        <f t="shared" si="0"/>
        <v>1</v>
      </c>
    </row>
    <row r="61" spans="1:11" x14ac:dyDescent="0.8">
      <c r="A61" s="10">
        <v>45877</v>
      </c>
      <c r="B61" t="s">
        <v>41</v>
      </c>
      <c r="C61" t="s">
        <v>42</v>
      </c>
      <c r="D61" t="s">
        <v>69</v>
      </c>
      <c r="E61" t="s">
        <v>53</v>
      </c>
      <c r="F61">
        <v>4255</v>
      </c>
      <c r="G61">
        <v>0</v>
      </c>
      <c r="H61">
        <v>-1199</v>
      </c>
      <c r="I61">
        <v>378</v>
      </c>
      <c r="J61">
        <v>3434</v>
      </c>
      <c r="K61">
        <f t="shared" si="0"/>
        <v>1</v>
      </c>
    </row>
    <row r="62" spans="1:11" x14ac:dyDescent="0.8">
      <c r="A62" s="10">
        <v>45877</v>
      </c>
      <c r="B62" t="s">
        <v>41</v>
      </c>
      <c r="C62" t="s">
        <v>42</v>
      </c>
      <c r="D62" t="s">
        <v>68</v>
      </c>
      <c r="E62" t="s">
        <v>53</v>
      </c>
      <c r="F62">
        <v>4255</v>
      </c>
      <c r="G62">
        <v>0</v>
      </c>
      <c r="H62">
        <v>-1199</v>
      </c>
      <c r="I62">
        <v>378</v>
      </c>
      <c r="J62">
        <v>3434</v>
      </c>
      <c r="K62">
        <f t="shared" si="0"/>
        <v>1</v>
      </c>
    </row>
    <row r="63" spans="1:11" x14ac:dyDescent="0.8">
      <c r="A63" s="10">
        <v>45877</v>
      </c>
      <c r="B63" t="s">
        <v>41</v>
      </c>
      <c r="C63" t="s">
        <v>61</v>
      </c>
      <c r="D63" t="s">
        <v>68</v>
      </c>
      <c r="E63" t="s">
        <v>53</v>
      </c>
      <c r="F63">
        <v>-4255</v>
      </c>
      <c r="G63">
        <v>0</v>
      </c>
      <c r="H63">
        <v>688</v>
      </c>
      <c r="I63">
        <v>-378</v>
      </c>
      <c r="J63">
        <v>-3945</v>
      </c>
      <c r="K63">
        <f t="shared" si="0"/>
        <v>-1</v>
      </c>
    </row>
    <row r="64" spans="1:11" x14ac:dyDescent="0.8">
      <c r="A64" s="10">
        <v>45876</v>
      </c>
      <c r="B64" t="s">
        <v>41</v>
      </c>
      <c r="C64" t="s">
        <v>54</v>
      </c>
      <c r="D64" t="s">
        <v>55</v>
      </c>
      <c r="E64" t="s">
        <v>63</v>
      </c>
      <c r="F64">
        <v>0</v>
      </c>
      <c r="G64">
        <v>0</v>
      </c>
      <c r="H64">
        <v>0</v>
      </c>
      <c r="I64">
        <v>-199</v>
      </c>
      <c r="J64">
        <v>-199</v>
      </c>
      <c r="K64">
        <f t="shared" si="0"/>
        <v>0</v>
      </c>
    </row>
    <row r="65" spans="1:11" x14ac:dyDescent="0.8">
      <c r="A65" s="10">
        <v>45875</v>
      </c>
      <c r="B65" t="s">
        <v>41</v>
      </c>
      <c r="C65" t="s">
        <v>42</v>
      </c>
      <c r="D65" t="s">
        <v>73</v>
      </c>
      <c r="E65" t="s">
        <v>53</v>
      </c>
      <c r="F65">
        <v>4255</v>
      </c>
      <c r="G65">
        <v>0</v>
      </c>
      <c r="H65">
        <v>-434</v>
      </c>
      <c r="I65">
        <v>378</v>
      </c>
      <c r="J65">
        <v>4199</v>
      </c>
      <c r="K65">
        <f t="shared" si="0"/>
        <v>1</v>
      </c>
    </row>
    <row r="66" spans="1:11" x14ac:dyDescent="0.8">
      <c r="A66" s="10">
        <v>45875</v>
      </c>
      <c r="B66" t="s">
        <v>41</v>
      </c>
      <c r="C66" t="s">
        <v>42</v>
      </c>
      <c r="D66" t="s">
        <v>74</v>
      </c>
      <c r="E66" t="s">
        <v>53</v>
      </c>
      <c r="F66">
        <v>4255</v>
      </c>
      <c r="G66">
        <v>0</v>
      </c>
      <c r="H66">
        <v>-1199</v>
      </c>
      <c r="I66">
        <v>378</v>
      </c>
      <c r="J66">
        <v>3434</v>
      </c>
      <c r="K66">
        <f t="shared" si="0"/>
        <v>1</v>
      </c>
    </row>
    <row r="67" spans="1:11" x14ac:dyDescent="0.8">
      <c r="A67" s="10">
        <v>45875</v>
      </c>
      <c r="B67" t="s">
        <v>41</v>
      </c>
      <c r="C67" t="s">
        <v>42</v>
      </c>
      <c r="D67" t="s">
        <v>76</v>
      </c>
      <c r="E67" t="s">
        <v>53</v>
      </c>
      <c r="F67">
        <v>4255</v>
      </c>
      <c r="G67">
        <v>0</v>
      </c>
      <c r="H67">
        <v>-1199</v>
      </c>
      <c r="I67">
        <v>378</v>
      </c>
      <c r="J67">
        <v>3434</v>
      </c>
      <c r="K67">
        <f t="shared" ref="K67:K96" si="1">ROUND(F67/3616,0)</f>
        <v>1</v>
      </c>
    </row>
    <row r="68" spans="1:11" x14ac:dyDescent="0.8">
      <c r="A68" s="10">
        <v>45875</v>
      </c>
      <c r="B68" t="s">
        <v>41</v>
      </c>
      <c r="C68" t="s">
        <v>42</v>
      </c>
      <c r="D68" t="s">
        <v>75</v>
      </c>
      <c r="E68" t="s">
        <v>53</v>
      </c>
      <c r="F68">
        <v>4254</v>
      </c>
      <c r="G68">
        <v>0</v>
      </c>
      <c r="H68">
        <v>-1553</v>
      </c>
      <c r="I68">
        <v>733</v>
      </c>
      <c r="J68">
        <v>3434</v>
      </c>
      <c r="K68">
        <f t="shared" si="1"/>
        <v>1</v>
      </c>
    </row>
    <row r="69" spans="1:11" x14ac:dyDescent="0.8">
      <c r="A69" s="10">
        <v>45874</v>
      </c>
      <c r="B69" t="s">
        <v>41</v>
      </c>
      <c r="C69" t="s">
        <v>42</v>
      </c>
      <c r="D69" t="s">
        <v>150</v>
      </c>
      <c r="E69" t="s">
        <v>53</v>
      </c>
      <c r="F69">
        <v>4255</v>
      </c>
      <c r="G69">
        <v>0</v>
      </c>
      <c r="H69">
        <v>-1199</v>
      </c>
      <c r="I69">
        <v>378</v>
      </c>
      <c r="J69">
        <v>3434</v>
      </c>
      <c r="K69">
        <f t="shared" si="1"/>
        <v>1</v>
      </c>
    </row>
    <row r="70" spans="1:11" x14ac:dyDescent="0.8">
      <c r="A70" s="10">
        <v>45874</v>
      </c>
      <c r="B70" t="s">
        <v>41</v>
      </c>
      <c r="C70" t="s">
        <v>42</v>
      </c>
      <c r="D70" t="s">
        <v>151</v>
      </c>
      <c r="E70" t="s">
        <v>53</v>
      </c>
      <c r="F70">
        <v>4255</v>
      </c>
      <c r="G70">
        <v>0</v>
      </c>
      <c r="H70">
        <v>-1199</v>
      </c>
      <c r="I70">
        <v>378</v>
      </c>
      <c r="J70">
        <v>3434</v>
      </c>
      <c r="K70">
        <f t="shared" si="1"/>
        <v>1</v>
      </c>
    </row>
    <row r="71" spans="1:11" x14ac:dyDescent="0.8">
      <c r="A71" s="10">
        <v>45874</v>
      </c>
      <c r="B71" t="s">
        <v>41</v>
      </c>
      <c r="C71" t="s">
        <v>42</v>
      </c>
      <c r="D71" t="s">
        <v>152</v>
      </c>
      <c r="E71" t="s">
        <v>53</v>
      </c>
      <c r="F71">
        <v>4255</v>
      </c>
      <c r="G71">
        <v>0</v>
      </c>
      <c r="H71">
        <v>-1199</v>
      </c>
      <c r="I71">
        <v>378</v>
      </c>
      <c r="J71">
        <v>3434</v>
      </c>
      <c r="K71">
        <f t="shared" si="1"/>
        <v>1</v>
      </c>
    </row>
    <row r="72" spans="1:11" x14ac:dyDescent="0.8">
      <c r="A72" s="10">
        <v>45873</v>
      </c>
      <c r="B72" t="s">
        <v>41</v>
      </c>
      <c r="C72" t="s">
        <v>42</v>
      </c>
      <c r="D72" t="s">
        <v>153</v>
      </c>
      <c r="E72" t="s">
        <v>53</v>
      </c>
      <c r="F72">
        <v>17018</v>
      </c>
      <c r="G72">
        <v>0</v>
      </c>
      <c r="H72">
        <v>-4794</v>
      </c>
      <c r="I72">
        <v>1514</v>
      </c>
      <c r="J72">
        <v>13738</v>
      </c>
      <c r="K72">
        <f t="shared" si="1"/>
        <v>5</v>
      </c>
    </row>
    <row r="73" spans="1:11" x14ac:dyDescent="0.8">
      <c r="A73" s="10">
        <v>45873</v>
      </c>
      <c r="B73" t="s">
        <v>41</v>
      </c>
      <c r="C73" t="s">
        <v>42</v>
      </c>
      <c r="D73" t="s">
        <v>154</v>
      </c>
      <c r="E73" t="s">
        <v>53</v>
      </c>
      <c r="F73">
        <v>4254</v>
      </c>
      <c r="G73">
        <v>0</v>
      </c>
      <c r="H73">
        <v>-1356</v>
      </c>
      <c r="I73">
        <v>536</v>
      </c>
      <c r="J73">
        <v>3434</v>
      </c>
      <c r="K73">
        <f t="shared" si="1"/>
        <v>1</v>
      </c>
    </row>
    <row r="74" spans="1:11" x14ac:dyDescent="0.8">
      <c r="A74" s="10">
        <v>45873</v>
      </c>
      <c r="B74" t="s">
        <v>41</v>
      </c>
      <c r="C74" t="s">
        <v>42</v>
      </c>
      <c r="D74" t="s">
        <v>155</v>
      </c>
      <c r="E74" t="s">
        <v>53</v>
      </c>
      <c r="F74">
        <v>4255</v>
      </c>
      <c r="G74">
        <v>0</v>
      </c>
      <c r="H74">
        <v>-1199</v>
      </c>
      <c r="I74">
        <v>378</v>
      </c>
      <c r="J74">
        <v>3434</v>
      </c>
      <c r="K74">
        <f t="shared" si="1"/>
        <v>1</v>
      </c>
    </row>
    <row r="75" spans="1:11" x14ac:dyDescent="0.8">
      <c r="A75" s="10">
        <v>45873</v>
      </c>
      <c r="B75" t="s">
        <v>41</v>
      </c>
      <c r="C75" t="s">
        <v>42</v>
      </c>
      <c r="D75" t="s">
        <v>156</v>
      </c>
      <c r="E75" t="s">
        <v>53</v>
      </c>
      <c r="F75">
        <v>4255</v>
      </c>
      <c r="G75">
        <v>0</v>
      </c>
      <c r="H75">
        <v>-1199</v>
      </c>
      <c r="I75">
        <v>378</v>
      </c>
      <c r="J75">
        <v>3434</v>
      </c>
      <c r="K75">
        <f t="shared" si="1"/>
        <v>1</v>
      </c>
    </row>
    <row r="76" spans="1:11" x14ac:dyDescent="0.8">
      <c r="A76" s="10">
        <v>45873</v>
      </c>
      <c r="B76" t="s">
        <v>41</v>
      </c>
      <c r="C76" t="s">
        <v>42</v>
      </c>
      <c r="D76" t="s">
        <v>157</v>
      </c>
      <c r="E76" t="s">
        <v>53</v>
      </c>
      <c r="F76">
        <v>4255</v>
      </c>
      <c r="G76">
        <v>0</v>
      </c>
      <c r="H76">
        <v>-1199</v>
      </c>
      <c r="I76">
        <v>378</v>
      </c>
      <c r="J76">
        <v>3434</v>
      </c>
      <c r="K76">
        <f t="shared" si="1"/>
        <v>1</v>
      </c>
    </row>
    <row r="77" spans="1:11" x14ac:dyDescent="0.8">
      <c r="A77" s="10">
        <v>45873</v>
      </c>
      <c r="B77" t="s">
        <v>41</v>
      </c>
      <c r="C77" t="s">
        <v>42</v>
      </c>
      <c r="D77" t="s">
        <v>158</v>
      </c>
      <c r="E77" t="s">
        <v>53</v>
      </c>
      <c r="F77">
        <v>4255</v>
      </c>
      <c r="G77">
        <v>0</v>
      </c>
      <c r="H77">
        <v>-1199</v>
      </c>
      <c r="I77">
        <v>378</v>
      </c>
      <c r="J77">
        <v>3434</v>
      </c>
      <c r="K77">
        <f t="shared" si="1"/>
        <v>1</v>
      </c>
    </row>
    <row r="78" spans="1:11" x14ac:dyDescent="0.8">
      <c r="A78" s="10">
        <v>45873</v>
      </c>
      <c r="B78" t="s">
        <v>41</v>
      </c>
      <c r="C78" t="s">
        <v>42</v>
      </c>
      <c r="D78" t="s">
        <v>159</v>
      </c>
      <c r="E78" t="s">
        <v>53</v>
      </c>
      <c r="F78">
        <v>8509</v>
      </c>
      <c r="G78">
        <v>0</v>
      </c>
      <c r="H78">
        <v>-2397</v>
      </c>
      <c r="I78">
        <v>757</v>
      </c>
      <c r="J78">
        <v>6869</v>
      </c>
      <c r="K78">
        <f t="shared" si="1"/>
        <v>2</v>
      </c>
    </row>
    <row r="79" spans="1:11" x14ac:dyDescent="0.8">
      <c r="A79" s="10">
        <v>45873</v>
      </c>
      <c r="B79" t="s">
        <v>41</v>
      </c>
      <c r="C79" t="s">
        <v>42</v>
      </c>
      <c r="D79" t="s">
        <v>160</v>
      </c>
      <c r="E79" t="s">
        <v>53</v>
      </c>
      <c r="F79">
        <v>4255</v>
      </c>
      <c r="G79">
        <v>0</v>
      </c>
      <c r="H79">
        <v>-1199</v>
      </c>
      <c r="I79">
        <v>378</v>
      </c>
      <c r="J79">
        <v>3434</v>
      </c>
      <c r="K79">
        <f t="shared" si="1"/>
        <v>1</v>
      </c>
    </row>
    <row r="80" spans="1:11" x14ac:dyDescent="0.8">
      <c r="A80" s="10">
        <v>45873</v>
      </c>
      <c r="B80" t="s">
        <v>41</v>
      </c>
      <c r="C80" t="s">
        <v>42</v>
      </c>
      <c r="D80" t="s">
        <v>161</v>
      </c>
      <c r="E80" t="s">
        <v>53</v>
      </c>
      <c r="F80">
        <v>4255</v>
      </c>
      <c r="G80">
        <v>0</v>
      </c>
      <c r="H80">
        <v>-1199</v>
      </c>
      <c r="I80">
        <v>378</v>
      </c>
      <c r="J80">
        <v>3434</v>
      </c>
      <c r="K80">
        <f t="shared" si="1"/>
        <v>1</v>
      </c>
    </row>
    <row r="81" spans="1:11" x14ac:dyDescent="0.8">
      <c r="A81" s="10">
        <v>45873</v>
      </c>
      <c r="B81" t="s">
        <v>41</v>
      </c>
      <c r="C81" t="s">
        <v>42</v>
      </c>
      <c r="D81" t="s">
        <v>162</v>
      </c>
      <c r="E81" t="s">
        <v>53</v>
      </c>
      <c r="F81">
        <v>4255</v>
      </c>
      <c r="G81">
        <v>0</v>
      </c>
      <c r="H81">
        <v>-1199</v>
      </c>
      <c r="I81">
        <v>378</v>
      </c>
      <c r="J81">
        <v>3434</v>
      </c>
      <c r="K81">
        <f t="shared" si="1"/>
        <v>1</v>
      </c>
    </row>
    <row r="82" spans="1:11" x14ac:dyDescent="0.8">
      <c r="A82" s="10">
        <v>45872</v>
      </c>
      <c r="B82" t="s">
        <v>41</v>
      </c>
      <c r="C82" t="s">
        <v>42</v>
      </c>
      <c r="D82" t="s">
        <v>163</v>
      </c>
      <c r="E82" t="s">
        <v>53</v>
      </c>
      <c r="F82">
        <v>4255</v>
      </c>
      <c r="G82">
        <v>0</v>
      </c>
      <c r="H82">
        <v>-1199</v>
      </c>
      <c r="I82">
        <v>378</v>
      </c>
      <c r="J82">
        <v>3434</v>
      </c>
      <c r="K82">
        <f t="shared" si="1"/>
        <v>1</v>
      </c>
    </row>
    <row r="83" spans="1:11" x14ac:dyDescent="0.8">
      <c r="A83" s="10">
        <v>45872</v>
      </c>
      <c r="B83" t="s">
        <v>41</v>
      </c>
      <c r="C83" t="s">
        <v>42</v>
      </c>
      <c r="D83" t="s">
        <v>164</v>
      </c>
      <c r="E83" t="s">
        <v>53</v>
      </c>
      <c r="F83">
        <v>4255</v>
      </c>
      <c r="G83">
        <v>0</v>
      </c>
      <c r="H83">
        <v>-1199</v>
      </c>
      <c r="I83">
        <v>378</v>
      </c>
      <c r="J83">
        <v>3434</v>
      </c>
      <c r="K83">
        <f t="shared" si="1"/>
        <v>1</v>
      </c>
    </row>
    <row r="84" spans="1:11" x14ac:dyDescent="0.8">
      <c r="A84" s="10">
        <v>45872</v>
      </c>
      <c r="B84" t="s">
        <v>41</v>
      </c>
      <c r="C84" t="s">
        <v>42</v>
      </c>
      <c r="D84" t="s">
        <v>165</v>
      </c>
      <c r="E84" t="s">
        <v>53</v>
      </c>
      <c r="F84">
        <v>4255</v>
      </c>
      <c r="G84">
        <v>0</v>
      </c>
      <c r="H84">
        <v>-1199</v>
      </c>
      <c r="I84">
        <v>378</v>
      </c>
      <c r="J84">
        <v>3434</v>
      </c>
      <c r="K84">
        <f t="shared" si="1"/>
        <v>1</v>
      </c>
    </row>
    <row r="85" spans="1:11" x14ac:dyDescent="0.8">
      <c r="A85" s="10">
        <v>45872</v>
      </c>
      <c r="B85" t="s">
        <v>41</v>
      </c>
      <c r="C85" t="s">
        <v>42</v>
      </c>
      <c r="D85" t="s">
        <v>166</v>
      </c>
      <c r="E85" t="s">
        <v>53</v>
      </c>
      <c r="F85">
        <v>4254</v>
      </c>
      <c r="G85">
        <v>0</v>
      </c>
      <c r="H85">
        <v>-1553</v>
      </c>
      <c r="I85">
        <v>733</v>
      </c>
      <c r="J85">
        <v>3434</v>
      </c>
      <c r="K85">
        <f t="shared" si="1"/>
        <v>1</v>
      </c>
    </row>
    <row r="86" spans="1:11" x14ac:dyDescent="0.8">
      <c r="A86" s="10">
        <v>45872</v>
      </c>
      <c r="B86" t="s">
        <v>41</v>
      </c>
      <c r="C86" t="s">
        <v>42</v>
      </c>
      <c r="D86" t="s">
        <v>167</v>
      </c>
      <c r="E86" t="s">
        <v>53</v>
      </c>
      <c r="F86">
        <v>8509</v>
      </c>
      <c r="G86">
        <v>0</v>
      </c>
      <c r="H86">
        <v>-2397</v>
      </c>
      <c r="I86">
        <v>757</v>
      </c>
      <c r="J86">
        <v>6869</v>
      </c>
      <c r="K86">
        <f t="shared" si="1"/>
        <v>2</v>
      </c>
    </row>
    <row r="87" spans="1:11" x14ac:dyDescent="0.8">
      <c r="A87" s="10">
        <v>45872</v>
      </c>
      <c r="B87" t="s">
        <v>41</v>
      </c>
      <c r="C87" t="s">
        <v>42</v>
      </c>
      <c r="D87" t="s">
        <v>168</v>
      </c>
      <c r="E87" t="s">
        <v>53</v>
      </c>
      <c r="F87">
        <v>4255</v>
      </c>
      <c r="G87">
        <v>0</v>
      </c>
      <c r="H87">
        <v>-1199</v>
      </c>
      <c r="I87">
        <v>378</v>
      </c>
      <c r="J87">
        <v>3434</v>
      </c>
      <c r="K87">
        <f t="shared" si="1"/>
        <v>1</v>
      </c>
    </row>
    <row r="88" spans="1:11" x14ac:dyDescent="0.8">
      <c r="A88" s="10">
        <v>45872</v>
      </c>
      <c r="B88" t="s">
        <v>41</v>
      </c>
      <c r="C88" t="s">
        <v>42</v>
      </c>
      <c r="D88" t="s">
        <v>169</v>
      </c>
      <c r="E88" t="s">
        <v>53</v>
      </c>
      <c r="F88">
        <v>4255</v>
      </c>
      <c r="G88">
        <v>0</v>
      </c>
      <c r="H88">
        <v>-1199</v>
      </c>
      <c r="I88">
        <v>378</v>
      </c>
      <c r="J88">
        <v>3434</v>
      </c>
      <c r="K88">
        <f t="shared" si="1"/>
        <v>1</v>
      </c>
    </row>
    <row r="89" spans="1:11" x14ac:dyDescent="0.8">
      <c r="A89" s="10">
        <v>45872</v>
      </c>
      <c r="B89" t="s">
        <v>41</v>
      </c>
      <c r="C89" t="s">
        <v>42</v>
      </c>
      <c r="D89" t="s">
        <v>170</v>
      </c>
      <c r="E89" t="s">
        <v>53</v>
      </c>
      <c r="F89">
        <v>4254</v>
      </c>
      <c r="G89">
        <v>-182</v>
      </c>
      <c r="H89">
        <v>-1199</v>
      </c>
      <c r="I89">
        <v>561</v>
      </c>
      <c r="J89">
        <v>3434</v>
      </c>
      <c r="K89">
        <f t="shared" si="1"/>
        <v>1</v>
      </c>
    </row>
    <row r="90" spans="1:11" x14ac:dyDescent="0.8">
      <c r="A90" s="10">
        <v>45872</v>
      </c>
      <c r="B90" t="s">
        <v>41</v>
      </c>
      <c r="C90" t="s">
        <v>42</v>
      </c>
      <c r="D90" t="s">
        <v>171</v>
      </c>
      <c r="E90" t="s">
        <v>53</v>
      </c>
      <c r="F90">
        <v>4255</v>
      </c>
      <c r="G90">
        <v>0</v>
      </c>
      <c r="H90">
        <v>-1199</v>
      </c>
      <c r="I90">
        <v>378</v>
      </c>
      <c r="J90">
        <v>3434</v>
      </c>
      <c r="K90">
        <f t="shared" si="1"/>
        <v>1</v>
      </c>
    </row>
    <row r="91" spans="1:11" x14ac:dyDescent="0.8">
      <c r="A91" s="10">
        <v>45872</v>
      </c>
      <c r="B91" t="s">
        <v>41</v>
      </c>
      <c r="C91" t="s">
        <v>42</v>
      </c>
      <c r="D91" t="s">
        <v>172</v>
      </c>
      <c r="E91" t="s">
        <v>53</v>
      </c>
      <c r="F91">
        <v>8509</v>
      </c>
      <c r="G91">
        <v>-182</v>
      </c>
      <c r="H91">
        <v>-2397</v>
      </c>
      <c r="I91">
        <v>939</v>
      </c>
      <c r="J91">
        <v>6869</v>
      </c>
      <c r="K91">
        <f t="shared" si="1"/>
        <v>2</v>
      </c>
    </row>
    <row r="92" spans="1:11" x14ac:dyDescent="0.8">
      <c r="A92" s="10">
        <v>45871</v>
      </c>
      <c r="B92" t="s">
        <v>41</v>
      </c>
      <c r="C92" t="s">
        <v>54</v>
      </c>
      <c r="D92" t="s">
        <v>55</v>
      </c>
      <c r="E92" t="s">
        <v>56</v>
      </c>
      <c r="F92">
        <v>0</v>
      </c>
      <c r="G92">
        <v>0</v>
      </c>
      <c r="H92">
        <v>-26979</v>
      </c>
      <c r="I92">
        <v>0</v>
      </c>
      <c r="J92">
        <v>-26979</v>
      </c>
      <c r="K92">
        <f t="shared" si="1"/>
        <v>0</v>
      </c>
    </row>
    <row r="93" spans="1:11" x14ac:dyDescent="0.8">
      <c r="A93" s="10">
        <v>45871</v>
      </c>
      <c r="B93" t="s">
        <v>41</v>
      </c>
      <c r="C93" t="s">
        <v>42</v>
      </c>
      <c r="D93" t="s">
        <v>153</v>
      </c>
      <c r="E93" t="s">
        <v>53</v>
      </c>
      <c r="F93">
        <v>8509</v>
      </c>
      <c r="G93">
        <v>0</v>
      </c>
      <c r="H93">
        <v>-1773</v>
      </c>
      <c r="I93">
        <v>757</v>
      </c>
      <c r="J93">
        <v>7493</v>
      </c>
      <c r="K93">
        <f t="shared" si="1"/>
        <v>2</v>
      </c>
    </row>
    <row r="94" spans="1:11" x14ac:dyDescent="0.8">
      <c r="A94" s="10">
        <v>45870</v>
      </c>
      <c r="B94" t="s">
        <v>41</v>
      </c>
      <c r="C94" t="s">
        <v>42</v>
      </c>
      <c r="D94" t="s">
        <v>173</v>
      </c>
      <c r="E94" t="s">
        <v>53</v>
      </c>
      <c r="F94">
        <v>4254</v>
      </c>
      <c r="G94">
        <v>0</v>
      </c>
      <c r="H94">
        <v>-1553</v>
      </c>
      <c r="I94">
        <v>733</v>
      </c>
      <c r="J94">
        <v>3434</v>
      </c>
      <c r="K94">
        <f t="shared" si="1"/>
        <v>1</v>
      </c>
    </row>
    <row r="95" spans="1:11" x14ac:dyDescent="0.8">
      <c r="A95" s="10">
        <v>45870</v>
      </c>
      <c r="B95" t="s">
        <v>41</v>
      </c>
      <c r="C95" t="s">
        <v>42</v>
      </c>
      <c r="D95" t="s">
        <v>174</v>
      </c>
      <c r="E95" t="s">
        <v>53</v>
      </c>
      <c r="F95">
        <v>4255</v>
      </c>
      <c r="G95">
        <v>0</v>
      </c>
      <c r="H95">
        <v>-1199</v>
      </c>
      <c r="I95">
        <v>378</v>
      </c>
      <c r="J95">
        <v>3434</v>
      </c>
      <c r="K95">
        <f t="shared" si="1"/>
        <v>1</v>
      </c>
    </row>
    <row r="96" spans="1:11" x14ac:dyDescent="0.8">
      <c r="A96" s="10">
        <v>45870</v>
      </c>
      <c r="B96" t="s">
        <v>41</v>
      </c>
      <c r="C96" t="s">
        <v>42</v>
      </c>
      <c r="D96" t="s">
        <v>175</v>
      </c>
      <c r="E96" t="s">
        <v>53</v>
      </c>
      <c r="F96">
        <v>4255</v>
      </c>
      <c r="G96">
        <v>0</v>
      </c>
      <c r="H96">
        <v>-1199</v>
      </c>
      <c r="I96">
        <v>378</v>
      </c>
      <c r="J96">
        <v>3434</v>
      </c>
      <c r="K96">
        <f t="shared" si="1"/>
        <v>1</v>
      </c>
    </row>
    <row r="97" spans="1:11" x14ac:dyDescent="0.8">
      <c r="A97" s="10">
        <v>45869</v>
      </c>
      <c r="B97" t="s">
        <v>41</v>
      </c>
      <c r="C97" t="s">
        <v>42</v>
      </c>
      <c r="D97" t="s">
        <v>65</v>
      </c>
      <c r="E97" t="s">
        <v>53</v>
      </c>
      <c r="F97">
        <v>4254</v>
      </c>
      <c r="G97">
        <v>-182</v>
      </c>
      <c r="H97">
        <v>-1199</v>
      </c>
      <c r="I97">
        <v>561</v>
      </c>
      <c r="J97">
        <v>3434</v>
      </c>
      <c r="K97">
        <f t="shared" ref="K97:K110" si="2">ROUND(F97/3616,0)</f>
        <v>1</v>
      </c>
    </row>
    <row r="98" spans="1:11" x14ac:dyDescent="0.8">
      <c r="A98" s="10">
        <v>45869</v>
      </c>
      <c r="B98" t="s">
        <v>41</v>
      </c>
      <c r="C98" t="s">
        <v>42</v>
      </c>
      <c r="D98" t="s">
        <v>66</v>
      </c>
      <c r="E98" t="s">
        <v>53</v>
      </c>
      <c r="F98">
        <v>17020</v>
      </c>
      <c r="G98">
        <v>0</v>
      </c>
      <c r="H98">
        <v>-6392</v>
      </c>
      <c r="I98">
        <v>1300</v>
      </c>
      <c r="J98">
        <v>11928</v>
      </c>
      <c r="K98">
        <f t="shared" si="2"/>
        <v>5</v>
      </c>
    </row>
    <row r="99" spans="1:11" x14ac:dyDescent="0.8">
      <c r="A99" s="10">
        <v>45869</v>
      </c>
      <c r="B99" t="s">
        <v>41</v>
      </c>
      <c r="C99" t="s">
        <v>42</v>
      </c>
      <c r="D99" t="s">
        <v>67</v>
      </c>
      <c r="E99" t="s">
        <v>53</v>
      </c>
      <c r="F99">
        <v>4255</v>
      </c>
      <c r="G99">
        <v>0</v>
      </c>
      <c r="H99">
        <v>-1199</v>
      </c>
      <c r="I99">
        <v>378</v>
      </c>
      <c r="J99">
        <v>3434</v>
      </c>
      <c r="K99">
        <f t="shared" si="2"/>
        <v>1</v>
      </c>
    </row>
    <row r="100" spans="1:11" x14ac:dyDescent="0.8">
      <c r="A100" s="10">
        <v>45869</v>
      </c>
      <c r="B100" t="s">
        <v>41</v>
      </c>
      <c r="C100" t="s">
        <v>42</v>
      </c>
      <c r="D100" t="s">
        <v>68</v>
      </c>
      <c r="E100" t="s">
        <v>53</v>
      </c>
      <c r="F100">
        <v>4255</v>
      </c>
      <c r="G100">
        <v>0</v>
      </c>
      <c r="H100">
        <v>-1199</v>
      </c>
      <c r="I100">
        <v>378</v>
      </c>
      <c r="J100">
        <v>3434</v>
      </c>
      <c r="K100">
        <f t="shared" si="2"/>
        <v>1</v>
      </c>
    </row>
    <row r="101" spans="1:11" x14ac:dyDescent="0.8">
      <c r="A101" s="10">
        <v>45869</v>
      </c>
      <c r="B101" t="s">
        <v>41</v>
      </c>
      <c r="C101" t="s">
        <v>42</v>
      </c>
      <c r="D101" t="s">
        <v>69</v>
      </c>
      <c r="E101" t="s">
        <v>53</v>
      </c>
      <c r="F101">
        <v>4255</v>
      </c>
      <c r="G101">
        <v>0</v>
      </c>
      <c r="H101">
        <v>-1199</v>
      </c>
      <c r="I101">
        <v>378</v>
      </c>
      <c r="J101">
        <v>3434</v>
      </c>
      <c r="K101">
        <f t="shared" si="2"/>
        <v>1</v>
      </c>
    </row>
    <row r="102" spans="1:11" x14ac:dyDescent="0.8">
      <c r="A102" s="10">
        <v>45868</v>
      </c>
      <c r="B102" t="s">
        <v>41</v>
      </c>
      <c r="C102" t="s">
        <v>42</v>
      </c>
      <c r="D102" t="s">
        <v>70</v>
      </c>
      <c r="E102" t="s">
        <v>53</v>
      </c>
      <c r="F102">
        <v>4255</v>
      </c>
      <c r="G102">
        <v>-709</v>
      </c>
      <c r="H102">
        <v>-1128</v>
      </c>
      <c r="I102">
        <v>662</v>
      </c>
      <c r="J102">
        <v>3080</v>
      </c>
      <c r="K102">
        <f t="shared" si="2"/>
        <v>1</v>
      </c>
    </row>
    <row r="103" spans="1:11" x14ac:dyDescent="0.8">
      <c r="A103" s="10">
        <v>45867</v>
      </c>
      <c r="B103" t="s">
        <v>41</v>
      </c>
      <c r="C103" t="s">
        <v>42</v>
      </c>
      <c r="D103" t="s">
        <v>71</v>
      </c>
      <c r="E103" t="s">
        <v>53</v>
      </c>
      <c r="F103">
        <v>12765</v>
      </c>
      <c r="G103">
        <v>-1818</v>
      </c>
      <c r="H103">
        <v>-3384</v>
      </c>
      <c r="I103">
        <v>1677</v>
      </c>
      <c r="J103">
        <v>9240</v>
      </c>
      <c r="K103">
        <f t="shared" si="2"/>
        <v>4</v>
      </c>
    </row>
    <row r="104" spans="1:11" x14ac:dyDescent="0.8">
      <c r="A104" s="10">
        <v>45867</v>
      </c>
      <c r="B104" t="s">
        <v>41</v>
      </c>
      <c r="C104" t="s">
        <v>42</v>
      </c>
      <c r="D104" t="s">
        <v>72</v>
      </c>
      <c r="E104" t="s">
        <v>53</v>
      </c>
      <c r="F104">
        <v>4255</v>
      </c>
      <c r="G104">
        <v>-501</v>
      </c>
      <c r="H104">
        <v>-1128</v>
      </c>
      <c r="I104">
        <v>454</v>
      </c>
      <c r="J104">
        <v>3080</v>
      </c>
      <c r="K104">
        <f t="shared" si="2"/>
        <v>1</v>
      </c>
    </row>
    <row r="105" spans="1:11" x14ac:dyDescent="0.8">
      <c r="A105" s="10">
        <v>45867</v>
      </c>
      <c r="B105" t="s">
        <v>41</v>
      </c>
      <c r="C105" t="s">
        <v>42</v>
      </c>
      <c r="D105" t="s">
        <v>73</v>
      </c>
      <c r="E105" t="s">
        <v>53</v>
      </c>
      <c r="F105">
        <v>4255</v>
      </c>
      <c r="G105">
        <v>0</v>
      </c>
      <c r="H105">
        <v>-434</v>
      </c>
      <c r="I105">
        <v>378</v>
      </c>
      <c r="J105">
        <v>4199</v>
      </c>
      <c r="K105">
        <f t="shared" si="2"/>
        <v>1</v>
      </c>
    </row>
    <row r="106" spans="1:11" x14ac:dyDescent="0.8">
      <c r="A106" s="10">
        <v>45867</v>
      </c>
      <c r="B106" t="s">
        <v>41</v>
      </c>
      <c r="C106" t="s">
        <v>42</v>
      </c>
      <c r="D106" t="s">
        <v>74</v>
      </c>
      <c r="E106" t="s">
        <v>53</v>
      </c>
      <c r="F106">
        <v>4255</v>
      </c>
      <c r="G106">
        <v>0</v>
      </c>
      <c r="H106">
        <v>-1199</v>
      </c>
      <c r="I106">
        <v>378</v>
      </c>
      <c r="J106">
        <v>3434</v>
      </c>
      <c r="K106">
        <f t="shared" si="2"/>
        <v>1</v>
      </c>
    </row>
    <row r="107" spans="1:11" x14ac:dyDescent="0.8">
      <c r="A107" s="10">
        <v>45867</v>
      </c>
      <c r="B107" t="s">
        <v>41</v>
      </c>
      <c r="C107" t="s">
        <v>42</v>
      </c>
      <c r="D107" t="s">
        <v>75</v>
      </c>
      <c r="E107" t="s">
        <v>53</v>
      </c>
      <c r="F107">
        <v>4254</v>
      </c>
      <c r="G107">
        <v>0</v>
      </c>
      <c r="H107">
        <v>-1553</v>
      </c>
      <c r="I107">
        <v>733</v>
      </c>
      <c r="J107">
        <v>3434</v>
      </c>
      <c r="K107">
        <f t="shared" si="2"/>
        <v>1</v>
      </c>
    </row>
    <row r="108" spans="1:11" x14ac:dyDescent="0.8">
      <c r="A108" s="10">
        <v>45867</v>
      </c>
      <c r="B108" t="s">
        <v>41</v>
      </c>
      <c r="C108" t="s">
        <v>42</v>
      </c>
      <c r="D108" t="s">
        <v>76</v>
      </c>
      <c r="E108" t="s">
        <v>53</v>
      </c>
      <c r="F108">
        <v>4255</v>
      </c>
      <c r="G108">
        <v>0</v>
      </c>
      <c r="H108">
        <v>-1199</v>
      </c>
      <c r="I108">
        <v>378</v>
      </c>
      <c r="J108">
        <v>3434</v>
      </c>
      <c r="K108">
        <f t="shared" si="2"/>
        <v>1</v>
      </c>
    </row>
    <row r="109" spans="1:11" ht="79.5" x14ac:dyDescent="0.8">
      <c r="F109" s="21" t="s">
        <v>183</v>
      </c>
      <c r="G109" s="21" t="s">
        <v>180</v>
      </c>
      <c r="H109" s="21" t="s">
        <v>181</v>
      </c>
      <c r="I109" s="21" t="s">
        <v>182</v>
      </c>
    </row>
    <row r="110" spans="1:11" x14ac:dyDescent="0.8">
      <c r="F110">
        <f>ROUND(SUM(F2:F108)/1.1,0)</f>
        <v>496591</v>
      </c>
      <c r="G110">
        <f>ROUND(SUM(G2:G108)/1.1,0)</f>
        <v>-10247</v>
      </c>
      <c r="H110">
        <f>ROUND(SUM(H2:H108)/1.1,0)</f>
        <v>-133707</v>
      </c>
      <c r="I110">
        <f>ROUND(SUM(I2:I108)/1.1,0)</f>
        <v>51286</v>
      </c>
      <c r="J110">
        <f>ROUND(SUM(J2:J108)/1.1,0)</f>
        <v>403923</v>
      </c>
      <c r="K110">
        <f t="shared" si="2"/>
        <v>137</v>
      </c>
    </row>
    <row r="111" spans="1:11" x14ac:dyDescent="0.8">
      <c r="F111" t="s">
        <v>77</v>
      </c>
      <c r="G111" t="s">
        <v>77</v>
      </c>
      <c r="H111" t="s">
        <v>77</v>
      </c>
      <c r="I111" t="s">
        <v>77</v>
      </c>
      <c r="J111" t="s">
        <v>77</v>
      </c>
    </row>
    <row r="112" spans="1:11" x14ac:dyDescent="0.8">
      <c r="G112" t="s">
        <v>176</v>
      </c>
      <c r="H112">
        <v>-5390</v>
      </c>
    </row>
    <row r="113" spans="7:8" x14ac:dyDescent="0.8">
      <c r="G113" t="s">
        <v>177</v>
      </c>
      <c r="H113">
        <v>-26979</v>
      </c>
    </row>
    <row r="114" spans="7:8" ht="59.65" x14ac:dyDescent="0.8">
      <c r="G114" s="21" t="s">
        <v>178</v>
      </c>
      <c r="H114">
        <f>H112+H113</f>
        <v>-32369</v>
      </c>
    </row>
    <row r="115" spans="7:8" x14ac:dyDescent="0.8">
      <c r="G115" t="s">
        <v>179</v>
      </c>
      <c r="H115">
        <f>H110-H114</f>
        <v>-101338</v>
      </c>
    </row>
  </sheetData>
  <autoFilter ref="A1:K111" xr:uid="{B4D9AF07-50AC-7F44-B074-C4820E76FF34}"/>
  <sortState xmlns:xlrd2="http://schemas.microsoft.com/office/spreadsheetml/2017/richdata2" ref="A61:K96">
    <sortCondition ref="D61:D96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12"/>
  <sheetViews>
    <sheetView workbookViewId="0">
      <selection activeCell="F25" sqref="F25:F26"/>
    </sheetView>
  </sheetViews>
  <sheetFormatPr defaultColWidth="10.6640625" defaultRowHeight="19.899999999999999" x14ac:dyDescent="0.8"/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62</v>
      </c>
    </row>
    <row r="2" spans="1:11" x14ac:dyDescent="0.8">
      <c r="A2" s="10">
        <v>45900</v>
      </c>
      <c r="B2" t="s">
        <v>64</v>
      </c>
      <c r="C2" t="s">
        <v>42</v>
      </c>
      <c r="D2" t="s">
        <v>87</v>
      </c>
      <c r="E2" t="s">
        <v>88</v>
      </c>
      <c r="F2">
        <v>9055</v>
      </c>
      <c r="G2">
        <v>0</v>
      </c>
      <c r="H2">
        <v>-868</v>
      </c>
      <c r="I2">
        <v>805</v>
      </c>
      <c r="J2">
        <v>8992</v>
      </c>
    </row>
    <row r="3" spans="1:11" x14ac:dyDescent="0.8">
      <c r="A3" s="10">
        <v>45900</v>
      </c>
      <c r="B3" t="s">
        <v>64</v>
      </c>
      <c r="C3" t="s">
        <v>42</v>
      </c>
      <c r="D3" t="s">
        <v>89</v>
      </c>
      <c r="E3" t="s">
        <v>88</v>
      </c>
      <c r="F3">
        <v>9055</v>
      </c>
      <c r="G3">
        <v>0</v>
      </c>
      <c r="H3">
        <v>-868</v>
      </c>
      <c r="I3">
        <v>805</v>
      </c>
      <c r="J3">
        <v>8992</v>
      </c>
    </row>
    <row r="4" spans="1:11" x14ac:dyDescent="0.8">
      <c r="A4" s="10">
        <v>45899</v>
      </c>
      <c r="B4" t="s">
        <v>64</v>
      </c>
      <c r="C4" t="s">
        <v>42</v>
      </c>
      <c r="D4" t="s">
        <v>93</v>
      </c>
      <c r="E4" t="s">
        <v>88</v>
      </c>
      <c r="F4">
        <v>4527</v>
      </c>
      <c r="G4">
        <v>0</v>
      </c>
      <c r="H4">
        <v>-788</v>
      </c>
      <c r="I4">
        <v>757</v>
      </c>
      <c r="J4">
        <v>4496</v>
      </c>
    </row>
    <row r="5" spans="1:11" x14ac:dyDescent="0.8">
      <c r="A5" s="10">
        <v>45898</v>
      </c>
      <c r="B5" t="s">
        <v>64</v>
      </c>
      <c r="C5" t="s">
        <v>42</v>
      </c>
      <c r="D5" t="s">
        <v>95</v>
      </c>
      <c r="E5" t="s">
        <v>88</v>
      </c>
      <c r="F5">
        <v>9055</v>
      </c>
      <c r="G5">
        <v>0</v>
      </c>
      <c r="H5">
        <v>-868</v>
      </c>
      <c r="I5">
        <v>805</v>
      </c>
      <c r="J5">
        <v>8992</v>
      </c>
    </row>
    <row r="6" spans="1:11" x14ac:dyDescent="0.8">
      <c r="A6" s="10">
        <v>45897</v>
      </c>
      <c r="B6" t="s">
        <v>64</v>
      </c>
      <c r="C6" t="s">
        <v>42</v>
      </c>
      <c r="D6" t="s">
        <v>97</v>
      </c>
      <c r="E6" t="s">
        <v>53</v>
      </c>
      <c r="F6">
        <v>4527</v>
      </c>
      <c r="G6">
        <v>0</v>
      </c>
      <c r="H6">
        <v>-434</v>
      </c>
      <c r="I6">
        <v>403</v>
      </c>
      <c r="J6">
        <v>4496</v>
      </c>
    </row>
    <row r="7" spans="1:11" x14ac:dyDescent="0.8">
      <c r="A7" s="10">
        <v>45897</v>
      </c>
      <c r="B7" t="s">
        <v>64</v>
      </c>
      <c r="C7" t="s">
        <v>42</v>
      </c>
      <c r="D7" t="s">
        <v>98</v>
      </c>
      <c r="E7" t="s">
        <v>53</v>
      </c>
      <c r="F7">
        <v>4527</v>
      </c>
      <c r="G7">
        <v>0</v>
      </c>
      <c r="H7">
        <v>-434</v>
      </c>
      <c r="I7">
        <v>403</v>
      </c>
      <c r="J7">
        <v>4496</v>
      </c>
    </row>
    <row r="8" spans="1:11" x14ac:dyDescent="0.8">
      <c r="A8" s="10">
        <v>45897</v>
      </c>
      <c r="B8" t="s">
        <v>64</v>
      </c>
      <c r="C8" t="s">
        <v>42</v>
      </c>
      <c r="D8" t="s">
        <v>99</v>
      </c>
      <c r="E8" t="s">
        <v>53</v>
      </c>
      <c r="F8">
        <v>4527</v>
      </c>
      <c r="G8">
        <v>0</v>
      </c>
      <c r="H8">
        <v>-434</v>
      </c>
      <c r="I8">
        <v>403</v>
      </c>
      <c r="J8">
        <v>4496</v>
      </c>
    </row>
    <row r="9" spans="1:11" x14ac:dyDescent="0.8">
      <c r="A9" s="10">
        <v>45897</v>
      </c>
      <c r="B9" t="s">
        <v>64</v>
      </c>
      <c r="C9" t="s">
        <v>42</v>
      </c>
      <c r="D9" t="s">
        <v>104</v>
      </c>
      <c r="E9" t="s">
        <v>53</v>
      </c>
      <c r="F9">
        <v>4527</v>
      </c>
      <c r="G9">
        <v>0</v>
      </c>
      <c r="H9">
        <v>-434</v>
      </c>
      <c r="I9">
        <v>403</v>
      </c>
      <c r="J9">
        <v>4496</v>
      </c>
    </row>
    <row r="10" spans="1:11" x14ac:dyDescent="0.8">
      <c r="A10" s="10">
        <v>45896</v>
      </c>
      <c r="B10" t="s">
        <v>64</v>
      </c>
      <c r="C10" t="s">
        <v>42</v>
      </c>
      <c r="D10" t="s">
        <v>106</v>
      </c>
      <c r="E10" t="s">
        <v>53</v>
      </c>
      <c r="F10">
        <v>9054</v>
      </c>
      <c r="G10">
        <v>0</v>
      </c>
      <c r="H10">
        <v>-2502</v>
      </c>
      <c r="I10">
        <v>1442</v>
      </c>
      <c r="J10">
        <v>7994</v>
      </c>
    </row>
    <row r="11" spans="1:11" x14ac:dyDescent="0.8">
      <c r="A11" s="10">
        <v>45895</v>
      </c>
      <c r="B11" t="s">
        <v>64</v>
      </c>
      <c r="C11" t="s">
        <v>42</v>
      </c>
      <c r="D11" t="s">
        <v>109</v>
      </c>
      <c r="E11" t="s">
        <v>53</v>
      </c>
      <c r="F11">
        <v>4527</v>
      </c>
      <c r="G11">
        <v>0</v>
      </c>
      <c r="H11">
        <v>-434</v>
      </c>
      <c r="I11">
        <v>403</v>
      </c>
      <c r="J11">
        <v>4496</v>
      </c>
    </row>
    <row r="12" spans="1:11" x14ac:dyDescent="0.8">
      <c r="A12" s="10">
        <v>45895</v>
      </c>
      <c r="B12" t="s">
        <v>64</v>
      </c>
      <c r="C12" t="s">
        <v>42</v>
      </c>
      <c r="D12" t="s">
        <v>110</v>
      </c>
      <c r="E12" t="s">
        <v>53</v>
      </c>
      <c r="F12">
        <v>4527</v>
      </c>
      <c r="G12">
        <v>0</v>
      </c>
      <c r="H12">
        <v>-434</v>
      </c>
      <c r="I12">
        <v>403</v>
      </c>
      <c r="J12">
        <v>4496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留保中9月請求時確認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2025-07-08T08:37:57Z</cp:lastPrinted>
  <dcterms:created xsi:type="dcterms:W3CDTF">2025-01-24T08:40:17Z</dcterms:created>
  <dcterms:modified xsi:type="dcterms:W3CDTF">2026-03-25T01:37:58Z</dcterms:modified>
</cp:coreProperties>
</file>