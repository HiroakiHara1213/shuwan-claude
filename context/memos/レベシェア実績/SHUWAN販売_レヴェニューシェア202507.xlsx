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1" documentId="8_{3D5A68B8-7996-40C8-904F-77CE25684B68}" xr6:coauthVersionLast="47" xr6:coauthVersionMax="47" xr10:uidLastSave="{A253BD34-7C60-466E-9280-81093B0C5F1C}"/>
  <bookViews>
    <workbookView xWindow="-98" yWindow="-98" windowWidth="21795" windowHeight="13875" xr2:uid="{9516FBB4-3A9B-6D45-85D3-EE0B367FE07A}"/>
  </bookViews>
  <sheets>
    <sheet name="レヴェニューシェア資料" sheetId="2" r:id="rId1"/>
    <sheet name="Amazon詳細" sheetId="5" r:id="rId2"/>
    <sheet name="留保中8月請求時確認" sheetId="6" r:id="rId3"/>
    <sheet name="shopify手数料試算" sheetId="3" r:id="rId4"/>
  </sheets>
  <definedNames>
    <definedName name="_xlnm._FilterDatabase" localSheetId="1" hidden="1">Amazon詳細!$A$1:$K$76</definedName>
    <definedName name="payment_transactions_export_1__2" localSheetId="3">shopify手数料試算!#REF!</definedName>
    <definedName name="_xlnm.Print_Area" localSheetId="0">レヴェニューシェア資料!$A$1:$E$42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6" l="1"/>
  <c r="B38" i="2"/>
  <c r="D15" i="2"/>
  <c r="C15" i="2"/>
  <c r="C27" i="2"/>
  <c r="D23" i="2"/>
  <c r="B28" i="2"/>
  <c r="D28" i="2"/>
  <c r="H7" i="2"/>
  <c r="H4" i="2"/>
  <c r="H5" i="2"/>
  <c r="H6" i="2"/>
  <c r="H3" i="2"/>
  <c r="G6" i="2"/>
  <c r="G5" i="2"/>
  <c r="G4" i="2"/>
  <c r="G3" i="2"/>
  <c r="C7" i="2"/>
  <c r="D4" i="2"/>
  <c r="D6" i="2"/>
  <c r="B6" i="2"/>
  <c r="B5" i="2"/>
  <c r="D5" i="2" s="1"/>
  <c r="B4" i="2"/>
  <c r="B3" i="2"/>
  <c r="D3" i="2" s="1"/>
  <c r="D7" i="2" s="1"/>
  <c r="D31" i="2" s="1"/>
  <c r="B10" i="2"/>
  <c r="J73" i="5"/>
  <c r="I73" i="5"/>
  <c r="H73" i="5"/>
  <c r="G73" i="5"/>
  <c r="F73" i="5"/>
  <c r="D22" i="2"/>
  <c r="D20" i="2"/>
  <c r="D21" i="2"/>
  <c r="J71" i="5"/>
  <c r="D19" i="2"/>
  <c r="D18" i="2"/>
  <c r="I71" i="5"/>
  <c r="H71" i="5"/>
  <c r="G71" i="5"/>
  <c r="F71" i="5"/>
  <c r="K7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C29" i="2" l="1"/>
  <c r="D13" i="2"/>
  <c r="D14" i="2" l="1"/>
  <c r="D12" i="2"/>
  <c r="B37" i="2" l="1"/>
  <c r="B18" i="2"/>
  <c r="D27" i="2" l="1"/>
  <c r="D11" i="2"/>
  <c r="C30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30" i="2"/>
  <c r="B35" i="2" l="1"/>
  <c r="D29" i="2"/>
  <c r="D30" i="2"/>
  <c r="D32" i="2" l="1"/>
  <c r="B36" i="2"/>
  <c r="B39" i="2" l="1"/>
  <c r="B40" i="2" l="1"/>
</calcChain>
</file>

<file path=xl/sharedStrings.xml><?xml version="1.0" encoding="utf-8"?>
<sst xmlns="http://schemas.openxmlformats.org/spreadsheetml/2006/main" count="460" uniqueCount="157">
  <si>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</si>
  <si>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</si>
  <si>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</si>
  <si>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</si>
  <si>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</si>
  <si>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</si>
  <si>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</si>
  <si>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</si>
  <si>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</si>
  <si>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</si>
  <si>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</si>
  <si>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</si>
  <si>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</si>
  <si>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</si>
  <si>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</si>
  <si>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</si>
  <si>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</si>
  <si>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</si>
  <si>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</si>
  <si>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</si>
  <si>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</si>
  <si>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</si>
  <si>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</si>
  <si>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</si>
  <si>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</si>
  <si>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</si>
  <si>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</si>
  <si>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</si>
  <si>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</si>
  <si>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</si>
  <si>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</si>
  <si>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</si>
  <si>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</si>
  <si>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</si>
  <si>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</si>
  <si>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</si>
  <si>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</si>
  <si>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</si>
  <si>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</si>
  <si>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その他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</si>
  <si>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</si>
  <si>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</si>
  <si>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</si>
  <si>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</si>
  <si>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</si>
  <si>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</si>
  <si>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</si>
  <si>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</si>
  <si>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</si>
  <si>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</si>
  <si>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</si>
  <si>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</si>
  <si>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</si>
  <si>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</si>
  <si>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SHUWAN 正規品 公式 日本酒グラス, 酒器,270ml, 磁器,食洗機対応...</t>
  </si>
  <si>
    <t>サービス料金</t>
  </si>
  <si>
    <t>---</t>
  </si>
  <si>
    <t>広告費用</t>
  </si>
  <si>
    <t>月額登録料：</t>
  </si>
  <si>
    <t>その他費用</t>
    <phoneticPr fontId="1"/>
  </si>
  <si>
    <t>広告費用/月額登録料</t>
    <phoneticPr fontId="1"/>
  </si>
  <si>
    <t>SHUWAN箱あり</t>
    <rPh sb="6" eb="7">
      <t xml:space="preserve">ハコアリ </t>
    </rPh>
    <phoneticPr fontId="1"/>
  </si>
  <si>
    <t>返金</t>
  </si>
  <si>
    <t>販売数量</t>
    <rPh sb="0" eb="2">
      <t xml:space="preserve">ハンバイ </t>
    </rPh>
    <rPh sb="2" eb="4">
      <t xml:space="preserve">スウリョウ </t>
    </rPh>
    <phoneticPr fontId="5"/>
  </si>
  <si>
    <t>FBA保管手数料：</t>
  </si>
  <si>
    <t>エルスタイル 60</t>
    <phoneticPr fontId="1"/>
  </si>
  <si>
    <t>カネセ商店 30
酒泉洞掘一 30</t>
    <phoneticPr fontId="1"/>
  </si>
  <si>
    <t>108gallery 30</t>
    <phoneticPr fontId="1"/>
  </si>
  <si>
    <t>ひろがる酒店 4
つきや酒店 6
東市酒店 10
うらの酒店 10
加藤酒店 6
小宮酒店 12
キッチンワールドTDI 10</t>
    <phoneticPr fontId="1"/>
  </si>
  <si>
    <t>留保中</t>
  </si>
  <si>
    <t>503-3165247-3147023</t>
  </si>
  <si>
    <t>249-7255048-8683862</t>
  </si>
  <si>
    <t>249-4024838-4809404</t>
  </si>
  <si>
    <t>250-6595710-6616613</t>
  </si>
  <si>
    <t>250-9474081-1664604</t>
  </si>
  <si>
    <t>503-3015836-2911010</t>
  </si>
  <si>
    <t>249-5938115-4985427</t>
  </si>
  <si>
    <t>250-9574223-7145464</t>
  </si>
  <si>
    <t>250-0718506-5005424</t>
  </si>
  <si>
    <t>249-0507290-3233430</t>
  </si>
  <si>
    <t>249-6573612-0553455</t>
  </si>
  <si>
    <t>503-1532392-2899847</t>
  </si>
  <si>
    <t>250-3181979-2822260</t>
  </si>
  <si>
    <t>250-0940795-4935035</t>
  </si>
  <si>
    <t>249-9963857-9181465</t>
  </si>
  <si>
    <t>503-9824655-4400664</t>
  </si>
  <si>
    <t>249-5252006-0099065</t>
  </si>
  <si>
    <t>503-1752285-7739845</t>
  </si>
  <si>
    <t>503-7861031-4019846</t>
  </si>
  <si>
    <t>503-1352764-1249451</t>
  </si>
  <si>
    <t>503-9931935-5073466</t>
  </si>
  <si>
    <t>503-4730561-6634206</t>
  </si>
  <si>
    <t>503-5321638-1449448</t>
  </si>
  <si>
    <t>250-9776664-1218202</t>
  </si>
  <si>
    <t>249-0044367-1775875</t>
  </si>
  <si>
    <t>503-0724682-1823011</t>
  </si>
  <si>
    <t>503-9077997-0269404</t>
  </si>
  <si>
    <t>250-5757761-7957421</t>
  </si>
  <si>
    <t>250-5552974-7658245</t>
  </si>
  <si>
    <t>250-0953014-9073402</t>
  </si>
  <si>
    <t>在庫の払い戻し</t>
  </si>
  <si>
    <t>249-5883223-7732658</t>
  </si>
  <si>
    <t>FBA在庫の返金</t>
  </si>
  <si>
    <t>250-0075937-4782218</t>
  </si>
  <si>
    <t>503-5121535-3533408</t>
  </si>
  <si>
    <t>249-4875695-8587847</t>
  </si>
  <si>
    <t>503-8861251-8426212</t>
  </si>
  <si>
    <t>503-3403695-1030269</t>
  </si>
  <si>
    <t>249-9535958-6980629</t>
  </si>
  <si>
    <t>250-7482588-4336626</t>
  </si>
  <si>
    <t>250-4787221-1789453</t>
  </si>
  <si>
    <t>503-1134504-8931850</t>
  </si>
  <si>
    <t>250-9755747-1356660</t>
  </si>
  <si>
    <t>503-5387794-3072661</t>
  </si>
  <si>
    <t>249-6729060-0764648</t>
  </si>
  <si>
    <t>503-8641292-6217460</t>
  </si>
  <si>
    <t>250-7487053-5923803</t>
  </si>
  <si>
    <t>250-6561994-6608649</t>
  </si>
  <si>
    <t>503-6763675-9639000</t>
  </si>
  <si>
    <t>249-0777323-7108629</t>
  </si>
  <si>
    <t>250-6423167-8730248</t>
  </si>
  <si>
    <t>249-0730153-6510228</t>
  </si>
  <si>
    <t>249-7669830-3167032</t>
  </si>
  <si>
    <t>503-2880264-3305412</t>
  </si>
  <si>
    <t>250-6478417-8831814</t>
  </si>
  <si>
    <t>250-6180983-2931027</t>
  </si>
  <si>
    <t>249-0997249-1122250</t>
  </si>
  <si>
    <t>249-4971542-4135825</t>
  </si>
  <si>
    <t>249-5539255-0062207</t>
  </si>
  <si>
    <t>249-0309163-2750211</t>
  </si>
  <si>
    <t>250-4098662-7975052</t>
  </si>
  <si>
    <t>503-8471315-2998257</t>
  </si>
  <si>
    <t>249-5796262-8524655</t>
  </si>
  <si>
    <t>250-8296660-0535809</t>
  </si>
  <si>
    <t>249-4360505-3953430</t>
  </si>
  <si>
    <t>250-3226497-1422250</t>
  </si>
  <si>
    <t>250-0521894-0084664</t>
  </si>
  <si>
    <t>249-6723086-7470203</t>
  </si>
  <si>
    <t>249-6216910-8778267</t>
  </si>
  <si>
    <t>503-3767474-1939063</t>
  </si>
  <si>
    <t>503-8679990-9119044</t>
  </si>
  <si>
    <t>503-0934671-6073445</t>
  </si>
  <si>
    <t>249-9479460-0510249</t>
  </si>
  <si>
    <t>249-0407298-5117439</t>
  </si>
  <si>
    <t>Amazonに支払う額 | 出品者からの返済額</t>
  </si>
  <si>
    <t>販売金額
税込合計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</si>
  <si>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プロモーション割引
税込合計</t>
    <rPh sb="10" eb="12">
      <t xml:space="preserve">ゼイコミ </t>
    </rPh>
    <phoneticPr fontId="1"/>
  </si>
  <si>
    <t>その他
税込合計</t>
    <phoneticPr fontId="1"/>
  </si>
  <si>
    <t>Amazon手数料
月額登録料
広告費用
税込合計</t>
    <phoneticPr fontId="1"/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</si>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</sst>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6" fontId="3" fillId="0" borderId="1" xfId="2" applyFont="1" applyBorder="1">
      <alignment vertical="center"/>
    </xf>
    <xf numFmtId="0" fontId="4" fillId="2" borderId="1" xfId="0" applyFont="1" applyFill="1" applyBorder="1">
      <alignment vertical="center"/>
    </xf>
    <xf numFmtId="6" fontId="4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H42"/>
  <sheetViews>
    <sheetView tabSelected="1" topLeftCell="A22" zoomScaleNormal="100" zoomScaleSheetLayoutView="94" workbookViewId="0">
      <selection activeCell="D33" sqref="D33"/>
    </sheetView>
  </sheetViews>
  <sheetFormatPr defaultColWidth="10.71875" defaultRowHeight="24.4" x14ac:dyDescent="0.8"/>
  <cols>
    <col min="1" max="1" width="33.27734375" style="1" bestFit="1" customWidth="1"/>
    <col min="2" max="2" width="12" style="1" customWidth="1"/>
    <col min="3" max="3" width="6" style="1" bestFit="1" customWidth="1"/>
    <col min="4" max="4" width="12.5546875" style="1" bestFit="1" customWidth="1"/>
    <col min="5" max="5" width="27" style="1" customWidth="1"/>
    <col min="6" max="6" width="3.27734375" style="1" customWidth="1"/>
    <col min="7" max="7" width="5.44140625" style="1" bestFit="1" customWidth="1"/>
    <col min="8" max="16384" width="10.71875" style="1"/>
  </cols>
  <sheetData>
    <row r="1" spans="1:8" x14ac:dyDescent="0.8">
      <c r="A1" s="1" t="s">
        <v>13</v>
      </c>
    </row>
    <row r="2" spans="1:8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32</v>
      </c>
      <c r="G2" s="15" t="s">
        <v>156</v>
      </c>
      <c r="H2" s="15" t="s">
        <v>14</v>
      </c>
    </row>
    <row r="3" spans="1:8" x14ac:dyDescent="0.8">
      <c r="A3" s="2" t="s">
        <v>151</v>
      </c>
      <c r="B3" s="15">
        <f>ROUND(2000/1.1,0)</f>
        <v>1818</v>
      </c>
      <c r="C3" s="15">
        <v>9</v>
      </c>
      <c r="D3" s="22">
        <f>C3*B3</f>
        <v>16362</v>
      </c>
      <c r="E3" s="15"/>
      <c r="G3" s="15">
        <f>18+620</f>
        <v>638</v>
      </c>
      <c r="H3" s="15">
        <f>G3*C3</f>
        <v>5742</v>
      </c>
    </row>
    <row r="4" spans="1:8" x14ac:dyDescent="0.8">
      <c r="A4" s="2" t="s">
        <v>152</v>
      </c>
      <c r="B4" s="15">
        <f>ROUND(1000/1.1,0)</f>
        <v>909</v>
      </c>
      <c r="C4" s="15">
        <v>24</v>
      </c>
      <c r="D4" s="22">
        <f t="shared" ref="D4:D6" si="0">C4*B4</f>
        <v>21816</v>
      </c>
      <c r="E4" s="15"/>
      <c r="G4" s="15">
        <f>18+420</f>
        <v>438</v>
      </c>
      <c r="H4" s="15">
        <f t="shared" ref="H4:H6" si="1">G4*C4</f>
        <v>10512</v>
      </c>
    </row>
    <row r="5" spans="1:8" x14ac:dyDescent="0.8">
      <c r="A5" s="2" t="s">
        <v>153</v>
      </c>
      <c r="B5" s="15">
        <f>ROUND(250/1.1,0)</f>
        <v>227</v>
      </c>
      <c r="C5" s="15">
        <v>1</v>
      </c>
      <c r="D5" s="22">
        <f t="shared" si="0"/>
        <v>227</v>
      </c>
      <c r="E5" s="15"/>
      <c r="G5" s="15">
        <f>18+103</f>
        <v>121</v>
      </c>
      <c r="H5" s="15">
        <f t="shared" si="1"/>
        <v>121</v>
      </c>
    </row>
    <row r="6" spans="1:8" x14ac:dyDescent="0.8">
      <c r="A6" s="2" t="s">
        <v>154</v>
      </c>
      <c r="B6" s="15">
        <f>ROUND(220/1.1,0)</f>
        <v>200</v>
      </c>
      <c r="C6" s="15">
        <v>17</v>
      </c>
      <c r="D6" s="22">
        <f t="shared" si="0"/>
        <v>3400</v>
      </c>
      <c r="E6" s="15"/>
      <c r="G6" s="15">
        <f>18+99</f>
        <v>117</v>
      </c>
      <c r="H6" s="15">
        <f t="shared" si="1"/>
        <v>1989</v>
      </c>
    </row>
    <row r="7" spans="1:8" x14ac:dyDescent="0.8">
      <c r="A7" s="2" t="s">
        <v>33</v>
      </c>
      <c r="B7" s="11"/>
      <c r="C7" s="14">
        <f>SUM(C3:C6)</f>
        <v>51</v>
      </c>
      <c r="D7" s="3">
        <f>SUM(D3:D6)</f>
        <v>41805</v>
      </c>
      <c r="E7" s="15"/>
      <c r="G7" s="15"/>
      <c r="H7" s="3">
        <f>SUM(H3:H6)</f>
        <v>18364</v>
      </c>
    </row>
    <row r="9" spans="1:8" x14ac:dyDescent="0.8">
      <c r="A9" s="2" t="s">
        <v>2</v>
      </c>
      <c r="B9" s="2" t="s">
        <v>5</v>
      </c>
      <c r="C9" s="2" t="s">
        <v>3</v>
      </c>
      <c r="D9" s="2" t="s">
        <v>14</v>
      </c>
      <c r="E9" s="15" t="s">
        <v>32</v>
      </c>
    </row>
    <row r="10" spans="1:8" x14ac:dyDescent="0.8">
      <c r="A10" s="2" t="s">
        <v>150</v>
      </c>
      <c r="B10" s="3">
        <f t="shared" ref="B10" si="2">ROUND(D10/C10,0)</f>
        <v>3798</v>
      </c>
      <c r="C10" s="4">
        <v>171</v>
      </c>
      <c r="D10" s="3">
        <v>649500</v>
      </c>
      <c r="E10" s="15"/>
    </row>
    <row r="11" spans="1:8" x14ac:dyDescent="0.8">
      <c r="A11" s="2" t="s">
        <v>61</v>
      </c>
      <c r="B11" s="3">
        <v>2216</v>
      </c>
      <c r="C11" s="4">
        <v>60</v>
      </c>
      <c r="D11" s="3">
        <f t="shared" ref="D11:D14" si="3">C11*B11</f>
        <v>132960</v>
      </c>
      <c r="E11" s="20" t="s">
        <v>65</v>
      </c>
    </row>
    <row r="12" spans="1:8" ht="48.75" x14ac:dyDescent="0.8">
      <c r="A12" s="2" t="s">
        <v>61</v>
      </c>
      <c r="B12" s="3">
        <v>2520</v>
      </c>
      <c r="C12" s="4">
        <v>60</v>
      </c>
      <c r="D12" s="3">
        <f t="shared" si="3"/>
        <v>151200</v>
      </c>
      <c r="E12" s="20" t="s">
        <v>66</v>
      </c>
    </row>
    <row r="13" spans="1:8" x14ac:dyDescent="0.8">
      <c r="A13" s="2" t="s">
        <v>61</v>
      </c>
      <c r="B13" s="3">
        <v>2640</v>
      </c>
      <c r="C13" s="4">
        <v>10</v>
      </c>
      <c r="D13" s="3">
        <f t="shared" si="3"/>
        <v>26400</v>
      </c>
      <c r="E13" s="20" t="s">
        <v>67</v>
      </c>
    </row>
    <row r="14" spans="1:8" ht="170.65" x14ac:dyDescent="0.8">
      <c r="A14" s="2" t="s">
        <v>61</v>
      </c>
      <c r="B14" s="3">
        <v>2680</v>
      </c>
      <c r="C14" s="4">
        <v>58</v>
      </c>
      <c r="D14" s="3">
        <f t="shared" si="3"/>
        <v>155440</v>
      </c>
      <c r="E14" s="20" t="s">
        <v>68</v>
      </c>
    </row>
    <row r="15" spans="1:8" x14ac:dyDescent="0.8">
      <c r="A15" s="2" t="s">
        <v>33</v>
      </c>
      <c r="B15" s="11"/>
      <c r="C15" s="14">
        <f>SUM(C10:C14)</f>
        <v>359</v>
      </c>
      <c r="D15" s="3">
        <f>SUM(D10:D14)</f>
        <v>1115500</v>
      </c>
      <c r="E15" s="15"/>
    </row>
    <row r="16" spans="1:8" x14ac:dyDescent="0.8">
      <c r="A16" s="5"/>
      <c r="B16" s="5"/>
      <c r="C16" s="5"/>
      <c r="D16" s="6"/>
    </row>
    <row r="17" spans="1:5" x14ac:dyDescent="0.8">
      <c r="A17" s="2" t="s">
        <v>41</v>
      </c>
      <c r="B17" s="2" t="s">
        <v>5</v>
      </c>
      <c r="C17" s="2" t="s">
        <v>3</v>
      </c>
      <c r="D17" s="2" t="s">
        <v>14</v>
      </c>
      <c r="E17" s="15" t="s">
        <v>32</v>
      </c>
    </row>
    <row r="18" spans="1:5" x14ac:dyDescent="0.8">
      <c r="A18" s="2" t="s">
        <v>36</v>
      </c>
      <c r="B18" s="3">
        <f>ROUND(D18/C18,0)</f>
        <v>3302</v>
      </c>
      <c r="C18" s="2">
        <v>82</v>
      </c>
      <c r="D18" s="3">
        <f>ROUND(297845/1.1,0)</f>
        <v>270768</v>
      </c>
      <c r="E18" s="15"/>
    </row>
    <row r="19" spans="1:5" x14ac:dyDescent="0.8">
      <c r="A19" s="2" t="s">
        <v>37</v>
      </c>
      <c r="B19" s="11"/>
      <c r="C19" s="11"/>
      <c r="D19" s="3">
        <f>ROUND(3530/1.1,0)</f>
        <v>3209</v>
      </c>
      <c r="E19" s="15"/>
    </row>
    <row r="20" spans="1:5" x14ac:dyDescent="0.8">
      <c r="A20" s="2" t="s">
        <v>38</v>
      </c>
      <c r="B20" s="11"/>
      <c r="C20" s="11"/>
      <c r="D20" s="3">
        <f>ROUND(49578/1.1,0)</f>
        <v>45071</v>
      </c>
      <c r="E20" s="15"/>
    </row>
    <row r="21" spans="1:5" x14ac:dyDescent="0.8">
      <c r="A21" s="2" t="s">
        <v>39</v>
      </c>
      <c r="B21" s="11"/>
      <c r="C21" s="11"/>
      <c r="D21" s="3">
        <f>ROUND(-44767/1.1,0)</f>
        <v>-40697</v>
      </c>
      <c r="E21" s="15"/>
    </row>
    <row r="22" spans="1:5" x14ac:dyDescent="0.8">
      <c r="A22" s="2" t="s">
        <v>59</v>
      </c>
      <c r="B22" s="19"/>
      <c r="C22" s="19"/>
      <c r="D22" s="3">
        <f>ROUND(60490/1.1,0)</f>
        <v>54991</v>
      </c>
      <c r="E22" s="15" t="s">
        <v>60</v>
      </c>
    </row>
    <row r="23" spans="1:5" x14ac:dyDescent="0.8">
      <c r="A23" s="2" t="s">
        <v>16</v>
      </c>
      <c r="B23" s="2"/>
      <c r="C23" s="2"/>
      <c r="D23" s="3">
        <f>D18-D19-D20-D21-D22</f>
        <v>208194</v>
      </c>
      <c r="E23" s="15"/>
    </row>
    <row r="24" spans="1:5" x14ac:dyDescent="0.8">
      <c r="A24" s="5"/>
      <c r="B24" s="5"/>
      <c r="C24" s="5"/>
      <c r="D24" s="6"/>
    </row>
    <row r="25" spans="1:5" x14ac:dyDescent="0.8">
      <c r="A25" s="5" t="s">
        <v>4</v>
      </c>
      <c r="B25" s="7"/>
      <c r="D25" s="7"/>
    </row>
    <row r="26" spans="1:5" x14ac:dyDescent="0.8">
      <c r="A26" s="2" t="s">
        <v>2</v>
      </c>
      <c r="B26" s="2" t="s">
        <v>5</v>
      </c>
      <c r="C26" s="2" t="s">
        <v>3</v>
      </c>
      <c r="D26" s="2" t="s">
        <v>14</v>
      </c>
      <c r="E26" s="15" t="s">
        <v>32</v>
      </c>
    </row>
    <row r="27" spans="1:5" x14ac:dyDescent="0.8">
      <c r="A27" s="2" t="s">
        <v>9</v>
      </c>
      <c r="B27" s="3">
        <v>1050</v>
      </c>
      <c r="C27" s="4">
        <f>C15+C18</f>
        <v>441</v>
      </c>
      <c r="D27" s="3">
        <f>B27*C27</f>
        <v>463050</v>
      </c>
      <c r="E27" s="15"/>
    </row>
    <row r="28" spans="1:5" x14ac:dyDescent="0.8">
      <c r="A28" s="2" t="s">
        <v>155</v>
      </c>
      <c r="B28" s="3">
        <f>ROUND(D28/C28,0)</f>
        <v>360</v>
      </c>
      <c r="C28" s="4">
        <v>51</v>
      </c>
      <c r="D28" s="3">
        <f>H7</f>
        <v>18364</v>
      </c>
      <c r="E28" s="15"/>
    </row>
    <row r="29" spans="1:5" x14ac:dyDescent="0.8">
      <c r="A29" s="2" t="s">
        <v>6</v>
      </c>
      <c r="B29" s="3">
        <v>100</v>
      </c>
      <c r="C29" s="4">
        <f>C15+C18</f>
        <v>441</v>
      </c>
      <c r="D29" s="3">
        <f>B29*C29</f>
        <v>44100</v>
      </c>
      <c r="E29" s="15"/>
    </row>
    <row r="30" spans="1:5" x14ac:dyDescent="0.8">
      <c r="A30" s="2" t="s">
        <v>7</v>
      </c>
      <c r="B30" s="3">
        <f>ROUND(150/1.1,0)</f>
        <v>136</v>
      </c>
      <c r="C30" s="4">
        <f>C15</f>
        <v>359</v>
      </c>
      <c r="D30" s="3">
        <f>B30*C30</f>
        <v>48824</v>
      </c>
      <c r="E30" s="15"/>
    </row>
    <row r="31" spans="1:5" x14ac:dyDescent="0.8">
      <c r="A31" s="16" t="s">
        <v>35</v>
      </c>
      <c r="B31" s="11"/>
      <c r="C31" s="12"/>
      <c r="D31" s="3">
        <f>ROUND((D7+D10)*0.0373,0)</f>
        <v>25786</v>
      </c>
      <c r="E31" s="17">
        <v>-3.73E-2</v>
      </c>
    </row>
    <row r="32" spans="1:5" x14ac:dyDescent="0.8">
      <c r="A32" s="2" t="s">
        <v>34</v>
      </c>
      <c r="B32" s="13"/>
      <c r="C32" s="13"/>
      <c r="D32" s="3">
        <f>SUM(D27:D31)</f>
        <v>600124</v>
      </c>
      <c r="E32" s="15"/>
    </row>
    <row r="33" spans="1:4" x14ac:dyDescent="0.8">
      <c r="A33" s="5"/>
      <c r="B33" s="5"/>
      <c r="C33" s="5"/>
      <c r="D33" s="6"/>
    </row>
    <row r="34" spans="1:4" x14ac:dyDescent="0.8">
      <c r="A34" s="2" t="s">
        <v>2</v>
      </c>
      <c r="B34" s="2" t="s">
        <v>8</v>
      </c>
    </row>
    <row r="35" spans="1:4" x14ac:dyDescent="0.8">
      <c r="A35" s="2" t="s">
        <v>10</v>
      </c>
      <c r="B35" s="8">
        <f>D15</f>
        <v>1115500</v>
      </c>
    </row>
    <row r="36" spans="1:4" x14ac:dyDescent="0.8">
      <c r="A36" s="2" t="s">
        <v>11</v>
      </c>
      <c r="B36" s="8">
        <f>D32</f>
        <v>600124</v>
      </c>
    </row>
    <row r="37" spans="1:4" x14ac:dyDescent="0.8">
      <c r="A37" s="2" t="s">
        <v>40</v>
      </c>
      <c r="B37" s="8">
        <f>D23</f>
        <v>208194</v>
      </c>
    </row>
    <row r="38" spans="1:4" x14ac:dyDescent="0.8">
      <c r="A38" s="2" t="s">
        <v>0</v>
      </c>
      <c r="B38" s="8">
        <f>B35-B36+B37</f>
        <v>723570</v>
      </c>
    </row>
    <row r="39" spans="1:4" x14ac:dyDescent="0.8">
      <c r="A39" s="23" t="s">
        <v>1</v>
      </c>
      <c r="B39" s="24">
        <f>ROUND(B38*0.6,0)</f>
        <v>434142</v>
      </c>
    </row>
    <row r="40" spans="1:4" x14ac:dyDescent="0.8">
      <c r="A40" s="2" t="s">
        <v>12</v>
      </c>
      <c r="B40" s="3">
        <f>B38*0.4</f>
        <v>289428</v>
      </c>
    </row>
    <row r="42" spans="1:4" x14ac:dyDescent="0.8">
      <c r="A42" s="1" t="s">
        <v>15</v>
      </c>
    </row>
  </sheetData>
  <phoneticPr fontId="1"/>
  <pageMargins left="0.25" right="0.25" top="0.75" bottom="0.75" header="0.3" footer="0.3"/>
  <pageSetup paperSize="9" scale="82" orientation="portrait" horizontalDpi="0" verticalDpi="0"/>
  <headerFooter>
    <oddHeader>&amp;F</oddHeader>
  </headerFooter>
  <rowBreaks count="1" manualBreakCount="1">
    <brk id="2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74"/>
  <sheetViews>
    <sheetView topLeftCell="E1" workbookViewId="0">
      <pane xSplit="4980" ySplit="840" topLeftCell="D48" activePane="bottomRight"/>
      <selection sqref="A1:J1048576"/>
      <selection pane="topRight" activeCell="I1" sqref="I1"/>
      <selection pane="bottomLeft" activeCell="C26" sqref="C26"/>
      <selection pane="bottomRight" activeCell="K48" sqref="K48"/>
    </sheetView>
  </sheetViews>
  <sheetFormatPr defaultColWidth="10.6640625" defaultRowHeight="19.899999999999999" x14ac:dyDescent="0.8"/>
  <cols>
    <col min="6" max="6" width="15.71875" bestFit="1" customWidth="1"/>
    <col min="8" max="8" width="15.44140625" bestFit="1" customWidth="1"/>
    <col min="11" max="11" width="8.5546875" bestFit="1" customWidth="1"/>
  </cols>
  <sheetData>
    <row r="1" spans="1:11" x14ac:dyDescent="0.8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s="18" t="s">
        <v>63</v>
      </c>
    </row>
    <row r="2" spans="1:11" x14ac:dyDescent="0.8">
      <c r="A2" s="10">
        <v>45869</v>
      </c>
      <c r="B2" t="s">
        <v>42</v>
      </c>
      <c r="C2" t="s">
        <v>43</v>
      </c>
      <c r="D2" t="s">
        <v>71</v>
      </c>
      <c r="E2" t="s">
        <v>54</v>
      </c>
      <c r="F2">
        <v>4255</v>
      </c>
      <c r="G2">
        <v>0</v>
      </c>
      <c r="H2">
        <v>-434</v>
      </c>
      <c r="I2">
        <v>378</v>
      </c>
      <c r="J2">
        <v>4199</v>
      </c>
      <c r="K2">
        <f>ROUND(F2/3616,0)</f>
        <v>1</v>
      </c>
    </row>
    <row r="3" spans="1:11" x14ac:dyDescent="0.8">
      <c r="A3" s="10">
        <v>45869</v>
      </c>
      <c r="B3" t="s">
        <v>42</v>
      </c>
      <c r="C3" t="s">
        <v>43</v>
      </c>
      <c r="D3" t="s">
        <v>75</v>
      </c>
      <c r="E3" t="s">
        <v>54</v>
      </c>
      <c r="F3">
        <v>4255</v>
      </c>
      <c r="G3">
        <v>0</v>
      </c>
      <c r="H3">
        <v>-1199</v>
      </c>
      <c r="I3">
        <v>378</v>
      </c>
      <c r="J3">
        <v>3434</v>
      </c>
      <c r="K3">
        <f t="shared" ref="K3:K55" si="0">ROUND(F3/3616,0)</f>
        <v>1</v>
      </c>
    </row>
    <row r="4" spans="1:11" x14ac:dyDescent="0.8">
      <c r="A4" s="10">
        <v>45869</v>
      </c>
      <c r="B4" t="s">
        <v>42</v>
      </c>
      <c r="C4" t="s">
        <v>43</v>
      </c>
      <c r="D4" t="s">
        <v>76</v>
      </c>
      <c r="E4" t="s">
        <v>54</v>
      </c>
      <c r="F4">
        <v>4255</v>
      </c>
      <c r="G4">
        <v>0</v>
      </c>
      <c r="H4">
        <v>-1199</v>
      </c>
      <c r="I4">
        <v>378</v>
      </c>
      <c r="J4">
        <v>3434</v>
      </c>
      <c r="K4">
        <f t="shared" si="0"/>
        <v>1</v>
      </c>
    </row>
    <row r="5" spans="1:11" x14ac:dyDescent="0.8">
      <c r="A5" s="10">
        <v>45869</v>
      </c>
      <c r="B5" t="s">
        <v>42</v>
      </c>
      <c r="C5" t="s">
        <v>43</v>
      </c>
      <c r="D5" t="s">
        <v>77</v>
      </c>
      <c r="E5" t="s">
        <v>54</v>
      </c>
      <c r="F5">
        <v>4255</v>
      </c>
      <c r="G5">
        <v>0</v>
      </c>
      <c r="H5">
        <v>-1199</v>
      </c>
      <c r="I5">
        <v>378</v>
      </c>
      <c r="J5">
        <v>3434</v>
      </c>
      <c r="K5">
        <f t="shared" si="0"/>
        <v>1</v>
      </c>
    </row>
    <row r="6" spans="1:11" x14ac:dyDescent="0.8">
      <c r="A6" s="10">
        <v>45869</v>
      </c>
      <c r="B6" t="s">
        <v>42</v>
      </c>
      <c r="C6" t="s">
        <v>43</v>
      </c>
      <c r="D6" t="s">
        <v>79</v>
      </c>
      <c r="E6" t="s">
        <v>54</v>
      </c>
      <c r="F6">
        <v>4255</v>
      </c>
      <c r="G6">
        <v>0</v>
      </c>
      <c r="H6">
        <v>-1199</v>
      </c>
      <c r="I6">
        <v>378</v>
      </c>
      <c r="J6">
        <v>3434</v>
      </c>
      <c r="K6">
        <f t="shared" si="0"/>
        <v>1</v>
      </c>
    </row>
    <row r="7" spans="1:11" x14ac:dyDescent="0.8">
      <c r="A7" s="10">
        <v>45869</v>
      </c>
      <c r="B7" t="s">
        <v>42</v>
      </c>
      <c r="C7" t="s">
        <v>43</v>
      </c>
      <c r="D7" t="s">
        <v>80</v>
      </c>
      <c r="E7" t="s">
        <v>54</v>
      </c>
      <c r="F7">
        <v>4255</v>
      </c>
      <c r="G7">
        <v>-709</v>
      </c>
      <c r="H7">
        <v>-434</v>
      </c>
      <c r="I7">
        <v>662</v>
      </c>
      <c r="J7">
        <v>3774</v>
      </c>
      <c r="K7">
        <f t="shared" si="0"/>
        <v>1</v>
      </c>
    </row>
    <row r="8" spans="1:11" x14ac:dyDescent="0.8">
      <c r="A8" s="10">
        <v>45869</v>
      </c>
      <c r="B8" t="s">
        <v>42</v>
      </c>
      <c r="C8" t="s">
        <v>43</v>
      </c>
      <c r="D8" t="s">
        <v>81</v>
      </c>
      <c r="E8" t="s">
        <v>54</v>
      </c>
      <c r="F8">
        <v>4255</v>
      </c>
      <c r="G8">
        <v>0</v>
      </c>
      <c r="H8">
        <v>-1199</v>
      </c>
      <c r="I8">
        <v>378</v>
      </c>
      <c r="J8">
        <v>3434</v>
      </c>
      <c r="K8">
        <f t="shared" si="0"/>
        <v>1</v>
      </c>
    </row>
    <row r="9" spans="1:11" x14ac:dyDescent="0.8">
      <c r="A9" s="10">
        <v>45869</v>
      </c>
      <c r="B9" t="s">
        <v>42</v>
      </c>
      <c r="C9" t="s">
        <v>43</v>
      </c>
      <c r="D9" t="s">
        <v>82</v>
      </c>
      <c r="E9" t="s">
        <v>54</v>
      </c>
      <c r="F9">
        <v>4255</v>
      </c>
      <c r="G9">
        <v>0</v>
      </c>
      <c r="H9">
        <v>-1199</v>
      </c>
      <c r="I9">
        <v>378</v>
      </c>
      <c r="J9">
        <v>3434</v>
      </c>
      <c r="K9">
        <f t="shared" si="0"/>
        <v>1</v>
      </c>
    </row>
    <row r="10" spans="1:11" x14ac:dyDescent="0.8">
      <c r="A10" s="10">
        <v>45868</v>
      </c>
      <c r="B10" t="s">
        <v>42</v>
      </c>
      <c r="C10" t="s">
        <v>43</v>
      </c>
      <c r="D10" t="s">
        <v>83</v>
      </c>
      <c r="E10" t="s">
        <v>54</v>
      </c>
      <c r="F10">
        <v>4255</v>
      </c>
      <c r="G10">
        <v>-418</v>
      </c>
      <c r="H10">
        <v>-1199</v>
      </c>
      <c r="I10">
        <v>796</v>
      </c>
      <c r="J10">
        <v>3434</v>
      </c>
      <c r="K10">
        <f t="shared" si="0"/>
        <v>1</v>
      </c>
    </row>
    <row r="11" spans="1:11" x14ac:dyDescent="0.8">
      <c r="A11" s="10">
        <v>45868</v>
      </c>
      <c r="B11" t="s">
        <v>42</v>
      </c>
      <c r="C11" t="s">
        <v>43</v>
      </c>
      <c r="D11" t="s">
        <v>84</v>
      </c>
      <c r="E11" t="s">
        <v>54</v>
      </c>
      <c r="F11">
        <v>4255</v>
      </c>
      <c r="G11">
        <v>0</v>
      </c>
      <c r="H11">
        <v>-1199</v>
      </c>
      <c r="I11">
        <v>378</v>
      </c>
      <c r="J11">
        <v>3434</v>
      </c>
      <c r="K11">
        <f t="shared" si="0"/>
        <v>1</v>
      </c>
    </row>
    <row r="12" spans="1:11" x14ac:dyDescent="0.8">
      <c r="A12" s="10">
        <v>45868</v>
      </c>
      <c r="B12" t="s">
        <v>42</v>
      </c>
      <c r="C12" t="s">
        <v>43</v>
      </c>
      <c r="D12" t="s">
        <v>85</v>
      </c>
      <c r="E12" t="s">
        <v>54</v>
      </c>
      <c r="F12">
        <v>4254</v>
      </c>
      <c r="G12">
        <v>-91</v>
      </c>
      <c r="H12">
        <v>-1199</v>
      </c>
      <c r="I12">
        <v>470</v>
      </c>
      <c r="J12">
        <v>3434</v>
      </c>
      <c r="K12">
        <f t="shared" si="0"/>
        <v>1</v>
      </c>
    </row>
    <row r="13" spans="1:11" x14ac:dyDescent="0.8">
      <c r="A13" s="10">
        <v>45868</v>
      </c>
      <c r="B13" t="s">
        <v>42</v>
      </c>
      <c r="C13" t="s">
        <v>43</v>
      </c>
      <c r="D13" t="s">
        <v>86</v>
      </c>
      <c r="E13" t="s">
        <v>54</v>
      </c>
      <c r="F13">
        <v>4255</v>
      </c>
      <c r="G13">
        <v>0</v>
      </c>
      <c r="H13">
        <v>-1199</v>
      </c>
      <c r="I13">
        <v>378</v>
      </c>
      <c r="J13">
        <v>3434</v>
      </c>
      <c r="K13">
        <f t="shared" si="0"/>
        <v>1</v>
      </c>
    </row>
    <row r="14" spans="1:11" x14ac:dyDescent="0.8">
      <c r="A14" s="10">
        <v>45868</v>
      </c>
      <c r="B14" t="s">
        <v>42</v>
      </c>
      <c r="C14" t="s">
        <v>43</v>
      </c>
      <c r="D14" t="s">
        <v>87</v>
      </c>
      <c r="E14" t="s">
        <v>54</v>
      </c>
      <c r="F14">
        <v>4255</v>
      </c>
      <c r="G14">
        <v>0</v>
      </c>
      <c r="H14">
        <v>-1199</v>
      </c>
      <c r="I14">
        <v>378</v>
      </c>
      <c r="J14">
        <v>3434</v>
      </c>
      <c r="K14">
        <f t="shared" si="0"/>
        <v>1</v>
      </c>
    </row>
    <row r="15" spans="1:11" x14ac:dyDescent="0.8">
      <c r="A15" s="10">
        <v>45868</v>
      </c>
      <c r="B15" t="s">
        <v>42</v>
      </c>
      <c r="C15" t="s">
        <v>43</v>
      </c>
      <c r="D15" t="s">
        <v>89</v>
      </c>
      <c r="E15" t="s">
        <v>54</v>
      </c>
      <c r="F15">
        <v>4255</v>
      </c>
      <c r="G15">
        <v>0</v>
      </c>
      <c r="H15">
        <v>-1199</v>
      </c>
      <c r="I15">
        <v>378</v>
      </c>
      <c r="J15">
        <v>3434</v>
      </c>
      <c r="K15">
        <f t="shared" si="0"/>
        <v>1</v>
      </c>
    </row>
    <row r="16" spans="1:11" x14ac:dyDescent="0.8">
      <c r="A16" s="10">
        <v>45868</v>
      </c>
      <c r="B16" t="s">
        <v>42</v>
      </c>
      <c r="C16" t="s">
        <v>43</v>
      </c>
      <c r="D16" t="s">
        <v>90</v>
      </c>
      <c r="E16" t="s">
        <v>54</v>
      </c>
      <c r="F16">
        <v>4254</v>
      </c>
      <c r="G16">
        <v>-182</v>
      </c>
      <c r="H16">
        <v>-434</v>
      </c>
      <c r="I16">
        <v>561</v>
      </c>
      <c r="J16">
        <v>4199</v>
      </c>
      <c r="K16">
        <f t="shared" si="0"/>
        <v>1</v>
      </c>
    </row>
    <row r="17" spans="1:11" x14ac:dyDescent="0.8">
      <c r="A17" s="10">
        <v>45868</v>
      </c>
      <c r="B17" t="s">
        <v>42</v>
      </c>
      <c r="C17" t="s">
        <v>43</v>
      </c>
      <c r="D17" t="s">
        <v>91</v>
      </c>
      <c r="E17" t="s">
        <v>54</v>
      </c>
      <c r="F17">
        <v>4255</v>
      </c>
      <c r="G17">
        <v>0</v>
      </c>
      <c r="H17">
        <v>-1199</v>
      </c>
      <c r="I17">
        <v>378</v>
      </c>
      <c r="J17">
        <v>3434</v>
      </c>
      <c r="K17">
        <f t="shared" si="0"/>
        <v>1</v>
      </c>
    </row>
    <row r="18" spans="1:11" x14ac:dyDescent="0.8">
      <c r="A18" s="10">
        <v>45868</v>
      </c>
      <c r="B18" t="s">
        <v>42</v>
      </c>
      <c r="C18" t="s">
        <v>43</v>
      </c>
      <c r="D18" t="s">
        <v>92</v>
      </c>
      <c r="E18" t="s">
        <v>54</v>
      </c>
      <c r="F18">
        <v>4255</v>
      </c>
      <c r="G18">
        <v>0</v>
      </c>
      <c r="H18">
        <v>-1199</v>
      </c>
      <c r="I18">
        <v>378</v>
      </c>
      <c r="J18">
        <v>3434</v>
      </c>
      <c r="K18">
        <f t="shared" si="0"/>
        <v>1</v>
      </c>
    </row>
    <row r="19" spans="1:11" x14ac:dyDescent="0.8">
      <c r="A19" s="10">
        <v>45868</v>
      </c>
      <c r="B19" t="s">
        <v>42</v>
      </c>
      <c r="C19" t="s">
        <v>43</v>
      </c>
      <c r="D19" t="s">
        <v>93</v>
      </c>
      <c r="E19" t="s">
        <v>54</v>
      </c>
      <c r="F19">
        <v>8509</v>
      </c>
      <c r="G19">
        <v>0</v>
      </c>
      <c r="H19">
        <v>-868</v>
      </c>
      <c r="I19">
        <v>757</v>
      </c>
      <c r="J19">
        <v>8398</v>
      </c>
      <c r="K19">
        <f t="shared" si="0"/>
        <v>2</v>
      </c>
    </row>
    <row r="20" spans="1:11" x14ac:dyDescent="0.8">
      <c r="A20" s="10">
        <v>45868</v>
      </c>
      <c r="B20" t="s">
        <v>42</v>
      </c>
      <c r="C20" t="s">
        <v>43</v>
      </c>
      <c r="D20" t="s">
        <v>94</v>
      </c>
      <c r="E20" t="s">
        <v>54</v>
      </c>
      <c r="F20">
        <v>4255</v>
      </c>
      <c r="G20">
        <v>0</v>
      </c>
      <c r="H20">
        <v>-434</v>
      </c>
      <c r="I20">
        <v>378</v>
      </c>
      <c r="J20">
        <v>4199</v>
      </c>
      <c r="K20">
        <f t="shared" si="0"/>
        <v>1</v>
      </c>
    </row>
    <row r="21" spans="1:11" x14ac:dyDescent="0.8">
      <c r="A21" s="10">
        <v>45868</v>
      </c>
      <c r="B21" t="s">
        <v>42</v>
      </c>
      <c r="C21" t="s">
        <v>43</v>
      </c>
      <c r="D21" t="s">
        <v>95</v>
      </c>
      <c r="E21" t="s">
        <v>54</v>
      </c>
      <c r="F21">
        <v>4255</v>
      </c>
      <c r="G21">
        <v>0</v>
      </c>
      <c r="H21">
        <v>-434</v>
      </c>
      <c r="I21">
        <v>378</v>
      </c>
      <c r="J21">
        <v>4199</v>
      </c>
      <c r="K21">
        <f t="shared" si="0"/>
        <v>1</v>
      </c>
    </row>
    <row r="22" spans="1:11" x14ac:dyDescent="0.8">
      <c r="A22" s="10">
        <v>45867</v>
      </c>
      <c r="B22" t="s">
        <v>42</v>
      </c>
      <c r="C22" t="s">
        <v>43</v>
      </c>
      <c r="D22" t="s">
        <v>96</v>
      </c>
      <c r="E22" t="s">
        <v>54</v>
      </c>
      <c r="F22">
        <v>4255</v>
      </c>
      <c r="G22">
        <v>0</v>
      </c>
      <c r="H22">
        <v>-434</v>
      </c>
      <c r="I22">
        <v>378</v>
      </c>
      <c r="J22">
        <v>4199</v>
      </c>
      <c r="K22">
        <f t="shared" si="0"/>
        <v>1</v>
      </c>
    </row>
    <row r="23" spans="1:11" x14ac:dyDescent="0.8">
      <c r="A23" s="10">
        <v>45867</v>
      </c>
      <c r="B23" t="s">
        <v>42</v>
      </c>
      <c r="C23" t="s">
        <v>43</v>
      </c>
      <c r="D23" t="s">
        <v>97</v>
      </c>
      <c r="E23" t="s">
        <v>54</v>
      </c>
      <c r="F23">
        <v>4255</v>
      </c>
      <c r="G23">
        <v>0</v>
      </c>
      <c r="H23">
        <v>-892</v>
      </c>
      <c r="I23">
        <v>378</v>
      </c>
      <c r="J23">
        <v>3741</v>
      </c>
      <c r="K23">
        <f t="shared" si="0"/>
        <v>1</v>
      </c>
    </row>
    <row r="24" spans="1:11" x14ac:dyDescent="0.8">
      <c r="A24" s="10">
        <v>45867</v>
      </c>
      <c r="B24" t="s">
        <v>42</v>
      </c>
      <c r="C24" t="s">
        <v>43</v>
      </c>
      <c r="D24" t="s">
        <v>98</v>
      </c>
      <c r="E24" t="s">
        <v>54</v>
      </c>
      <c r="F24">
        <v>4255</v>
      </c>
      <c r="G24">
        <v>-418</v>
      </c>
      <c r="H24">
        <v>-1199</v>
      </c>
      <c r="I24">
        <v>796</v>
      </c>
      <c r="J24">
        <v>3434</v>
      </c>
      <c r="K24">
        <f t="shared" si="0"/>
        <v>1</v>
      </c>
    </row>
    <row r="25" spans="1:11" x14ac:dyDescent="0.8">
      <c r="A25" s="10">
        <v>45867</v>
      </c>
      <c r="B25" t="s">
        <v>42</v>
      </c>
      <c r="C25" t="s">
        <v>43</v>
      </c>
      <c r="D25" t="s">
        <v>99</v>
      </c>
      <c r="E25" t="s">
        <v>54</v>
      </c>
      <c r="F25">
        <v>4255</v>
      </c>
      <c r="G25">
        <v>0</v>
      </c>
      <c r="H25">
        <v>-434</v>
      </c>
      <c r="I25">
        <v>378</v>
      </c>
      <c r="J25">
        <v>4199</v>
      </c>
      <c r="K25">
        <f t="shared" si="0"/>
        <v>1</v>
      </c>
    </row>
    <row r="26" spans="1:11" x14ac:dyDescent="0.8">
      <c r="A26" s="10">
        <v>45867</v>
      </c>
      <c r="B26" t="s">
        <v>42</v>
      </c>
      <c r="C26" t="s">
        <v>100</v>
      </c>
      <c r="D26" t="s">
        <v>101</v>
      </c>
      <c r="E26" t="s">
        <v>102</v>
      </c>
      <c r="F26">
        <v>0</v>
      </c>
      <c r="G26">
        <v>0</v>
      </c>
      <c r="H26">
        <v>0</v>
      </c>
      <c r="I26">
        <v>3049</v>
      </c>
      <c r="J26">
        <v>3049</v>
      </c>
      <c r="K26">
        <f t="shared" si="0"/>
        <v>0</v>
      </c>
    </row>
    <row r="27" spans="1:11" x14ac:dyDescent="0.8">
      <c r="A27" s="10">
        <v>45867</v>
      </c>
      <c r="B27" t="s">
        <v>42</v>
      </c>
      <c r="C27" t="s">
        <v>43</v>
      </c>
      <c r="D27" t="s">
        <v>103</v>
      </c>
      <c r="E27" t="s">
        <v>54</v>
      </c>
      <c r="F27">
        <v>4254</v>
      </c>
      <c r="G27">
        <v>0</v>
      </c>
      <c r="H27">
        <v>-591</v>
      </c>
      <c r="I27">
        <v>536</v>
      </c>
      <c r="J27">
        <v>4199</v>
      </c>
      <c r="K27">
        <f t="shared" si="0"/>
        <v>1</v>
      </c>
    </row>
    <row r="28" spans="1:11" x14ac:dyDescent="0.8">
      <c r="A28" s="10">
        <v>45867</v>
      </c>
      <c r="B28" t="s">
        <v>42</v>
      </c>
      <c r="C28" t="s">
        <v>43</v>
      </c>
      <c r="D28" t="s">
        <v>104</v>
      </c>
      <c r="E28" t="s">
        <v>54</v>
      </c>
      <c r="F28">
        <v>4255</v>
      </c>
      <c r="G28">
        <v>0</v>
      </c>
      <c r="H28">
        <v>-1199</v>
      </c>
      <c r="I28">
        <v>378</v>
      </c>
      <c r="J28">
        <v>3434</v>
      </c>
      <c r="K28">
        <f t="shared" si="0"/>
        <v>1</v>
      </c>
    </row>
    <row r="29" spans="1:11" x14ac:dyDescent="0.8">
      <c r="A29" s="10">
        <v>45867</v>
      </c>
      <c r="B29" t="s">
        <v>42</v>
      </c>
      <c r="C29" t="s">
        <v>43</v>
      </c>
      <c r="D29" t="s">
        <v>108</v>
      </c>
      <c r="E29" t="s">
        <v>54</v>
      </c>
      <c r="F29">
        <v>4254</v>
      </c>
      <c r="G29">
        <v>-455</v>
      </c>
      <c r="H29">
        <v>-434</v>
      </c>
      <c r="I29">
        <v>834</v>
      </c>
      <c r="J29">
        <v>4199</v>
      </c>
      <c r="K29">
        <f t="shared" si="0"/>
        <v>1</v>
      </c>
    </row>
    <row r="30" spans="1:11" x14ac:dyDescent="0.8">
      <c r="A30" s="10">
        <v>45867</v>
      </c>
      <c r="B30" t="s">
        <v>42</v>
      </c>
      <c r="C30" t="s">
        <v>62</v>
      </c>
      <c r="D30" t="s">
        <v>101</v>
      </c>
      <c r="E30" t="s">
        <v>54</v>
      </c>
      <c r="F30">
        <v>-4255</v>
      </c>
      <c r="G30">
        <v>0</v>
      </c>
      <c r="H30">
        <v>0</v>
      </c>
      <c r="I30">
        <v>-378</v>
      </c>
      <c r="J30">
        <v>-4633</v>
      </c>
      <c r="K30">
        <f t="shared" si="0"/>
        <v>-1</v>
      </c>
    </row>
    <row r="31" spans="1:11" x14ac:dyDescent="0.8">
      <c r="A31" s="10">
        <v>45867</v>
      </c>
      <c r="B31" t="s">
        <v>42</v>
      </c>
      <c r="C31" t="s">
        <v>43</v>
      </c>
      <c r="D31" t="s">
        <v>109</v>
      </c>
      <c r="E31" t="s">
        <v>54</v>
      </c>
      <c r="F31">
        <v>4255</v>
      </c>
      <c r="G31">
        <v>0</v>
      </c>
      <c r="H31">
        <v>-1199</v>
      </c>
      <c r="I31">
        <v>378</v>
      </c>
      <c r="J31">
        <v>3434</v>
      </c>
      <c r="K31">
        <f t="shared" si="0"/>
        <v>1</v>
      </c>
    </row>
    <row r="32" spans="1:11" x14ac:dyDescent="0.8">
      <c r="A32" s="10">
        <v>45867</v>
      </c>
      <c r="B32" t="s">
        <v>42</v>
      </c>
      <c r="C32" t="s">
        <v>43</v>
      </c>
      <c r="D32" t="s">
        <v>110</v>
      </c>
      <c r="E32" t="s">
        <v>54</v>
      </c>
      <c r="F32">
        <v>4255</v>
      </c>
      <c r="G32">
        <v>0</v>
      </c>
      <c r="H32">
        <v>-434</v>
      </c>
      <c r="I32">
        <v>378</v>
      </c>
      <c r="J32">
        <v>4199</v>
      </c>
      <c r="K32">
        <f t="shared" si="0"/>
        <v>1</v>
      </c>
    </row>
    <row r="33" spans="1:11" x14ac:dyDescent="0.8">
      <c r="A33" s="10">
        <v>45867</v>
      </c>
      <c r="B33" t="s">
        <v>42</v>
      </c>
      <c r="C33" t="s">
        <v>43</v>
      </c>
      <c r="D33" t="s">
        <v>111</v>
      </c>
      <c r="E33" t="s">
        <v>54</v>
      </c>
      <c r="F33">
        <v>4255</v>
      </c>
      <c r="G33">
        <v>0</v>
      </c>
      <c r="H33">
        <v>-434</v>
      </c>
      <c r="I33">
        <v>378</v>
      </c>
      <c r="J33">
        <v>4199</v>
      </c>
      <c r="K33">
        <f t="shared" si="0"/>
        <v>1</v>
      </c>
    </row>
    <row r="34" spans="1:11" x14ac:dyDescent="0.8">
      <c r="A34" s="10">
        <v>45867</v>
      </c>
      <c r="B34" t="s">
        <v>42</v>
      </c>
      <c r="C34" t="s">
        <v>43</v>
      </c>
      <c r="D34" t="s">
        <v>112</v>
      </c>
      <c r="E34" t="s">
        <v>54</v>
      </c>
      <c r="F34">
        <v>4255</v>
      </c>
      <c r="G34">
        <v>0</v>
      </c>
      <c r="H34">
        <v>-1199</v>
      </c>
      <c r="I34">
        <v>378</v>
      </c>
      <c r="J34">
        <v>3434</v>
      </c>
      <c r="K34">
        <f t="shared" si="0"/>
        <v>1</v>
      </c>
    </row>
    <row r="35" spans="1:11" x14ac:dyDescent="0.8">
      <c r="A35" s="10">
        <v>45867</v>
      </c>
      <c r="B35" t="s">
        <v>42</v>
      </c>
      <c r="C35" t="s">
        <v>43</v>
      </c>
      <c r="D35" t="s">
        <v>113</v>
      </c>
      <c r="E35" t="s">
        <v>54</v>
      </c>
      <c r="F35">
        <v>12764</v>
      </c>
      <c r="G35">
        <v>0</v>
      </c>
      <c r="H35">
        <v>-1302</v>
      </c>
      <c r="I35">
        <v>1135</v>
      </c>
      <c r="J35">
        <v>12597</v>
      </c>
      <c r="K35">
        <f t="shared" si="0"/>
        <v>4</v>
      </c>
    </row>
    <row r="36" spans="1:11" x14ac:dyDescent="0.8">
      <c r="A36" s="10">
        <v>45867</v>
      </c>
      <c r="B36" t="s">
        <v>42</v>
      </c>
      <c r="C36" t="s">
        <v>43</v>
      </c>
      <c r="D36" t="s">
        <v>114</v>
      </c>
      <c r="E36" t="s">
        <v>54</v>
      </c>
      <c r="F36">
        <v>4255</v>
      </c>
      <c r="G36">
        <v>0</v>
      </c>
      <c r="H36">
        <v>-434</v>
      </c>
      <c r="I36">
        <v>378</v>
      </c>
      <c r="J36">
        <v>4199</v>
      </c>
      <c r="K36">
        <f t="shared" si="0"/>
        <v>1</v>
      </c>
    </row>
    <row r="37" spans="1:11" x14ac:dyDescent="0.8">
      <c r="A37" s="10">
        <v>45867</v>
      </c>
      <c r="B37" t="s">
        <v>42</v>
      </c>
      <c r="C37" t="s">
        <v>43</v>
      </c>
      <c r="D37" t="s">
        <v>117</v>
      </c>
      <c r="E37" t="s">
        <v>54</v>
      </c>
      <c r="F37">
        <v>4254</v>
      </c>
      <c r="G37">
        <v>-182</v>
      </c>
      <c r="H37">
        <v>-434</v>
      </c>
      <c r="I37">
        <v>561</v>
      </c>
      <c r="J37">
        <v>4199</v>
      </c>
      <c r="K37">
        <f t="shared" si="0"/>
        <v>1</v>
      </c>
    </row>
    <row r="38" spans="1:11" x14ac:dyDescent="0.8">
      <c r="A38" s="10">
        <v>45867</v>
      </c>
      <c r="B38" t="s">
        <v>42</v>
      </c>
      <c r="C38" t="s">
        <v>43</v>
      </c>
      <c r="D38" t="s">
        <v>119</v>
      </c>
      <c r="E38" t="s">
        <v>54</v>
      </c>
      <c r="F38">
        <v>4255</v>
      </c>
      <c r="G38">
        <v>0</v>
      </c>
      <c r="H38">
        <v>-434</v>
      </c>
      <c r="I38">
        <v>378</v>
      </c>
      <c r="J38">
        <v>4199</v>
      </c>
      <c r="K38">
        <f t="shared" si="0"/>
        <v>1</v>
      </c>
    </row>
    <row r="39" spans="1:11" x14ac:dyDescent="0.8">
      <c r="A39" s="10">
        <v>45866</v>
      </c>
      <c r="B39" t="s">
        <v>42</v>
      </c>
      <c r="C39" t="s">
        <v>43</v>
      </c>
      <c r="D39" t="s">
        <v>120</v>
      </c>
      <c r="E39" t="s">
        <v>54</v>
      </c>
      <c r="F39">
        <v>4255</v>
      </c>
      <c r="G39">
        <v>0</v>
      </c>
      <c r="H39">
        <v>-434</v>
      </c>
      <c r="I39">
        <v>378</v>
      </c>
      <c r="J39">
        <v>4199</v>
      </c>
      <c r="K39">
        <f t="shared" si="0"/>
        <v>1</v>
      </c>
    </row>
    <row r="40" spans="1:11" x14ac:dyDescent="0.8">
      <c r="A40" s="10">
        <v>45866</v>
      </c>
      <c r="B40" t="s">
        <v>42</v>
      </c>
      <c r="C40" t="s">
        <v>43</v>
      </c>
      <c r="D40" t="s">
        <v>121</v>
      </c>
      <c r="E40" t="s">
        <v>54</v>
      </c>
      <c r="F40">
        <v>4255</v>
      </c>
      <c r="G40">
        <v>0</v>
      </c>
      <c r="H40">
        <v>-434</v>
      </c>
      <c r="I40">
        <v>378</v>
      </c>
      <c r="J40">
        <v>4199</v>
      </c>
      <c r="K40">
        <f t="shared" si="0"/>
        <v>1</v>
      </c>
    </row>
    <row r="41" spans="1:11" x14ac:dyDescent="0.8">
      <c r="A41" s="10">
        <v>45866</v>
      </c>
      <c r="B41" t="s">
        <v>42</v>
      </c>
      <c r="C41" t="s">
        <v>43</v>
      </c>
      <c r="D41" t="s">
        <v>122</v>
      </c>
      <c r="E41" t="s">
        <v>54</v>
      </c>
      <c r="F41">
        <v>8509</v>
      </c>
      <c r="G41">
        <v>0</v>
      </c>
      <c r="H41">
        <v>-868</v>
      </c>
      <c r="I41">
        <v>757</v>
      </c>
      <c r="J41">
        <v>8398</v>
      </c>
      <c r="K41">
        <f t="shared" si="0"/>
        <v>2</v>
      </c>
    </row>
    <row r="42" spans="1:11" x14ac:dyDescent="0.8">
      <c r="A42" s="10">
        <v>45866</v>
      </c>
      <c r="B42" t="s">
        <v>42</v>
      </c>
      <c r="C42" t="s">
        <v>43</v>
      </c>
      <c r="D42" t="s">
        <v>123</v>
      </c>
      <c r="E42" t="s">
        <v>54</v>
      </c>
      <c r="F42">
        <v>4255</v>
      </c>
      <c r="G42">
        <v>0</v>
      </c>
      <c r="H42">
        <v>-434</v>
      </c>
      <c r="I42">
        <v>378</v>
      </c>
      <c r="J42">
        <v>4199</v>
      </c>
      <c r="K42">
        <f t="shared" si="0"/>
        <v>1</v>
      </c>
    </row>
    <row r="43" spans="1:11" x14ac:dyDescent="0.8">
      <c r="A43" s="10">
        <v>45866</v>
      </c>
      <c r="B43" t="s">
        <v>42</v>
      </c>
      <c r="C43" t="s">
        <v>43</v>
      </c>
      <c r="D43" t="s">
        <v>124</v>
      </c>
      <c r="E43" t="s">
        <v>54</v>
      </c>
      <c r="F43">
        <v>8509</v>
      </c>
      <c r="G43">
        <v>0</v>
      </c>
      <c r="H43">
        <v>-868</v>
      </c>
      <c r="I43">
        <v>757</v>
      </c>
      <c r="J43">
        <v>8398</v>
      </c>
      <c r="K43">
        <f t="shared" si="0"/>
        <v>2</v>
      </c>
    </row>
    <row r="44" spans="1:11" x14ac:dyDescent="0.8">
      <c r="A44" s="10">
        <v>45866</v>
      </c>
      <c r="B44" t="s">
        <v>42</v>
      </c>
      <c r="C44" t="s">
        <v>43</v>
      </c>
      <c r="D44" t="s">
        <v>101</v>
      </c>
      <c r="E44" t="s">
        <v>54</v>
      </c>
      <c r="F44">
        <v>4255</v>
      </c>
      <c r="G44">
        <v>0</v>
      </c>
      <c r="H44">
        <v>-434</v>
      </c>
      <c r="I44">
        <v>378</v>
      </c>
      <c r="J44">
        <v>4199</v>
      </c>
      <c r="K44">
        <f t="shared" si="0"/>
        <v>1</v>
      </c>
    </row>
    <row r="45" spans="1:11" x14ac:dyDescent="0.8">
      <c r="A45" s="10">
        <v>45866</v>
      </c>
      <c r="B45" t="s">
        <v>42</v>
      </c>
      <c r="C45" t="s">
        <v>43</v>
      </c>
      <c r="D45" t="s">
        <v>125</v>
      </c>
      <c r="E45" t="s">
        <v>54</v>
      </c>
      <c r="F45">
        <v>4254</v>
      </c>
      <c r="G45">
        <v>-91</v>
      </c>
      <c r="H45">
        <v>-434</v>
      </c>
      <c r="I45">
        <v>470</v>
      </c>
      <c r="J45">
        <v>4199</v>
      </c>
      <c r="K45">
        <f t="shared" si="0"/>
        <v>1</v>
      </c>
    </row>
    <row r="46" spans="1:11" x14ac:dyDescent="0.8">
      <c r="A46" s="10">
        <v>45866</v>
      </c>
      <c r="B46" t="s">
        <v>42</v>
      </c>
      <c r="C46" t="s">
        <v>43</v>
      </c>
      <c r="D46" t="s">
        <v>126</v>
      </c>
      <c r="E46" t="s">
        <v>54</v>
      </c>
      <c r="F46">
        <v>4255</v>
      </c>
      <c r="G46">
        <v>0</v>
      </c>
      <c r="H46">
        <v>-434</v>
      </c>
      <c r="I46">
        <v>378</v>
      </c>
      <c r="J46">
        <v>4199</v>
      </c>
      <c r="K46">
        <f t="shared" si="0"/>
        <v>1</v>
      </c>
    </row>
    <row r="47" spans="1:11" x14ac:dyDescent="0.8">
      <c r="A47" s="10">
        <v>45866</v>
      </c>
      <c r="B47" t="s">
        <v>42</v>
      </c>
      <c r="C47" t="s">
        <v>43</v>
      </c>
      <c r="D47" t="s">
        <v>127</v>
      </c>
      <c r="E47" t="s">
        <v>54</v>
      </c>
      <c r="F47">
        <v>8509</v>
      </c>
      <c r="G47">
        <v>0</v>
      </c>
      <c r="H47">
        <v>-868</v>
      </c>
      <c r="I47">
        <v>757</v>
      </c>
      <c r="J47">
        <v>8398</v>
      </c>
      <c r="K47">
        <f t="shared" si="0"/>
        <v>2</v>
      </c>
    </row>
    <row r="48" spans="1:11" x14ac:dyDescent="0.8">
      <c r="A48" s="10">
        <v>45866</v>
      </c>
      <c r="B48" t="s">
        <v>42</v>
      </c>
      <c r="C48" t="s">
        <v>43</v>
      </c>
      <c r="D48" t="s">
        <v>128</v>
      </c>
      <c r="E48" t="s">
        <v>54</v>
      </c>
      <c r="F48">
        <v>4255</v>
      </c>
      <c r="G48">
        <v>0</v>
      </c>
      <c r="H48">
        <v>-434</v>
      </c>
      <c r="I48">
        <v>378</v>
      </c>
      <c r="J48">
        <v>4199</v>
      </c>
      <c r="K48">
        <f t="shared" si="0"/>
        <v>1</v>
      </c>
    </row>
    <row r="49" spans="1:11" x14ac:dyDescent="0.8">
      <c r="A49" s="10">
        <v>45865</v>
      </c>
      <c r="B49" t="s">
        <v>42</v>
      </c>
      <c r="C49" t="s">
        <v>43</v>
      </c>
      <c r="D49" t="s">
        <v>129</v>
      </c>
      <c r="E49" t="s">
        <v>54</v>
      </c>
      <c r="F49">
        <v>4255</v>
      </c>
      <c r="G49">
        <v>0</v>
      </c>
      <c r="H49">
        <v>-434</v>
      </c>
      <c r="I49">
        <v>378</v>
      </c>
      <c r="J49">
        <v>4199</v>
      </c>
      <c r="K49">
        <f t="shared" si="0"/>
        <v>1</v>
      </c>
    </row>
    <row r="50" spans="1:11" x14ac:dyDescent="0.8">
      <c r="A50" s="10">
        <v>45865</v>
      </c>
      <c r="B50" t="s">
        <v>42</v>
      </c>
      <c r="C50" t="s">
        <v>43</v>
      </c>
      <c r="D50" t="s">
        <v>130</v>
      </c>
      <c r="E50" t="s">
        <v>54</v>
      </c>
      <c r="F50">
        <v>4255</v>
      </c>
      <c r="G50">
        <v>0</v>
      </c>
      <c r="H50">
        <v>-434</v>
      </c>
      <c r="I50">
        <v>378</v>
      </c>
      <c r="J50">
        <v>4199</v>
      </c>
      <c r="K50">
        <f t="shared" si="0"/>
        <v>1</v>
      </c>
    </row>
    <row r="51" spans="1:11" x14ac:dyDescent="0.8">
      <c r="A51" s="10">
        <v>45864</v>
      </c>
      <c r="B51" t="s">
        <v>42</v>
      </c>
      <c r="C51" t="s">
        <v>43</v>
      </c>
      <c r="D51" t="s">
        <v>131</v>
      </c>
      <c r="E51" t="s">
        <v>54</v>
      </c>
      <c r="F51">
        <v>4254</v>
      </c>
      <c r="G51">
        <v>0</v>
      </c>
      <c r="H51">
        <v>-944</v>
      </c>
      <c r="I51">
        <v>889</v>
      </c>
      <c r="J51">
        <v>4199</v>
      </c>
      <c r="K51">
        <f t="shared" si="0"/>
        <v>1</v>
      </c>
    </row>
    <row r="52" spans="1:11" x14ac:dyDescent="0.8">
      <c r="A52" s="10">
        <v>45863</v>
      </c>
      <c r="B52" t="s">
        <v>42</v>
      </c>
      <c r="C52" t="s">
        <v>43</v>
      </c>
      <c r="D52" t="s">
        <v>132</v>
      </c>
      <c r="E52" t="s">
        <v>54</v>
      </c>
      <c r="F52">
        <v>8509</v>
      </c>
      <c r="G52">
        <v>0</v>
      </c>
      <c r="H52">
        <v>-868</v>
      </c>
      <c r="I52">
        <v>757</v>
      </c>
      <c r="J52">
        <v>8398</v>
      </c>
      <c r="K52">
        <f t="shared" si="0"/>
        <v>2</v>
      </c>
    </row>
    <row r="53" spans="1:11" x14ac:dyDescent="0.8">
      <c r="A53" s="10">
        <v>45863</v>
      </c>
      <c r="B53" t="s">
        <v>42</v>
      </c>
      <c r="C53" t="s">
        <v>43</v>
      </c>
      <c r="D53" t="s">
        <v>133</v>
      </c>
      <c r="E53" t="s">
        <v>54</v>
      </c>
      <c r="F53">
        <v>4255</v>
      </c>
      <c r="G53">
        <v>0</v>
      </c>
      <c r="H53">
        <v>-434</v>
      </c>
      <c r="I53">
        <v>378</v>
      </c>
      <c r="J53">
        <v>4199</v>
      </c>
      <c r="K53">
        <f t="shared" si="0"/>
        <v>1</v>
      </c>
    </row>
    <row r="54" spans="1:11" x14ac:dyDescent="0.8">
      <c r="A54" s="10">
        <v>45863</v>
      </c>
      <c r="B54" t="s">
        <v>42</v>
      </c>
      <c r="C54" t="s">
        <v>43</v>
      </c>
      <c r="D54" t="s">
        <v>134</v>
      </c>
      <c r="E54" t="s">
        <v>54</v>
      </c>
      <c r="F54">
        <v>4255</v>
      </c>
      <c r="G54">
        <v>0</v>
      </c>
      <c r="H54">
        <v>-434</v>
      </c>
      <c r="I54">
        <v>378</v>
      </c>
      <c r="J54">
        <v>4199</v>
      </c>
      <c r="K54">
        <f t="shared" si="0"/>
        <v>1</v>
      </c>
    </row>
    <row r="55" spans="1:11" x14ac:dyDescent="0.8">
      <c r="A55" s="10">
        <v>45862</v>
      </c>
      <c r="B55" t="s">
        <v>42</v>
      </c>
      <c r="C55" t="s">
        <v>43</v>
      </c>
      <c r="D55" t="s">
        <v>135</v>
      </c>
      <c r="E55" t="s">
        <v>54</v>
      </c>
      <c r="F55">
        <v>4255</v>
      </c>
      <c r="G55">
        <v>0</v>
      </c>
      <c r="H55">
        <v>-434</v>
      </c>
      <c r="I55">
        <v>378</v>
      </c>
      <c r="J55">
        <v>4199</v>
      </c>
      <c r="K55">
        <f t="shared" si="0"/>
        <v>1</v>
      </c>
    </row>
    <row r="56" spans="1:11" x14ac:dyDescent="0.8">
      <c r="A56" s="10">
        <v>45862</v>
      </c>
      <c r="B56" t="s">
        <v>42</v>
      </c>
      <c r="C56" t="s">
        <v>43</v>
      </c>
      <c r="D56" t="s">
        <v>136</v>
      </c>
      <c r="E56" t="s">
        <v>54</v>
      </c>
      <c r="F56">
        <v>17028</v>
      </c>
      <c r="G56">
        <v>0</v>
      </c>
      <c r="H56">
        <v>-5605</v>
      </c>
      <c r="I56">
        <v>3365</v>
      </c>
      <c r="J56">
        <v>14788</v>
      </c>
      <c r="K56">
        <f t="shared" ref="K56:K71" si="1">ROUND(F56/3616,0)</f>
        <v>5</v>
      </c>
    </row>
    <row r="57" spans="1:11" x14ac:dyDescent="0.8">
      <c r="A57" s="10">
        <v>45862</v>
      </c>
      <c r="B57" t="s">
        <v>42</v>
      </c>
      <c r="C57" t="s">
        <v>62</v>
      </c>
      <c r="D57" t="s">
        <v>137</v>
      </c>
      <c r="E57" t="s">
        <v>54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1"/>
        <v>0</v>
      </c>
    </row>
    <row r="58" spans="1:11" x14ac:dyDescent="0.8">
      <c r="A58" s="10">
        <v>45862</v>
      </c>
      <c r="B58" t="s">
        <v>42</v>
      </c>
      <c r="C58" t="s">
        <v>43</v>
      </c>
      <c r="D58" t="s">
        <v>138</v>
      </c>
      <c r="E58" t="s">
        <v>54</v>
      </c>
      <c r="F58">
        <v>4255</v>
      </c>
      <c r="G58">
        <v>0</v>
      </c>
      <c r="H58">
        <v>-434</v>
      </c>
      <c r="I58">
        <v>378</v>
      </c>
      <c r="J58">
        <v>4199</v>
      </c>
      <c r="K58">
        <f t="shared" si="1"/>
        <v>1</v>
      </c>
    </row>
    <row r="59" spans="1:11" x14ac:dyDescent="0.8">
      <c r="A59" s="10">
        <v>45862</v>
      </c>
      <c r="B59" t="s">
        <v>42</v>
      </c>
      <c r="C59" t="s">
        <v>62</v>
      </c>
      <c r="D59" t="s">
        <v>137</v>
      </c>
      <c r="E59" t="s">
        <v>54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1"/>
        <v>0</v>
      </c>
    </row>
    <row r="60" spans="1:11" x14ac:dyDescent="0.8">
      <c r="A60" s="10">
        <v>45861</v>
      </c>
      <c r="B60" t="s">
        <v>42</v>
      </c>
      <c r="C60" t="s">
        <v>43</v>
      </c>
      <c r="D60" t="s">
        <v>139</v>
      </c>
      <c r="E60" t="s">
        <v>54</v>
      </c>
      <c r="F60">
        <v>4255</v>
      </c>
      <c r="G60">
        <v>0</v>
      </c>
      <c r="H60">
        <v>-434</v>
      </c>
      <c r="I60">
        <v>378</v>
      </c>
      <c r="J60">
        <v>4199</v>
      </c>
      <c r="K60">
        <f t="shared" si="1"/>
        <v>1</v>
      </c>
    </row>
    <row r="61" spans="1:11" x14ac:dyDescent="0.8">
      <c r="A61" s="10">
        <v>45860</v>
      </c>
      <c r="B61" t="s">
        <v>42</v>
      </c>
      <c r="C61" t="s">
        <v>43</v>
      </c>
      <c r="D61" t="s">
        <v>137</v>
      </c>
      <c r="E61" t="s">
        <v>54</v>
      </c>
      <c r="F61">
        <v>4255</v>
      </c>
      <c r="G61">
        <v>-283</v>
      </c>
      <c r="H61">
        <v>-434</v>
      </c>
      <c r="I61">
        <v>236</v>
      </c>
      <c r="J61">
        <v>3774</v>
      </c>
      <c r="K61">
        <f t="shared" si="1"/>
        <v>1</v>
      </c>
    </row>
    <row r="62" spans="1:11" x14ac:dyDescent="0.8">
      <c r="A62" s="10">
        <v>45860</v>
      </c>
      <c r="B62" t="s">
        <v>42</v>
      </c>
      <c r="C62" t="s">
        <v>43</v>
      </c>
      <c r="D62" t="s">
        <v>137</v>
      </c>
      <c r="E62" t="s">
        <v>54</v>
      </c>
      <c r="F62">
        <v>4255</v>
      </c>
      <c r="G62">
        <v>-283</v>
      </c>
      <c r="H62">
        <v>-434</v>
      </c>
      <c r="I62">
        <v>236</v>
      </c>
      <c r="J62">
        <v>3774</v>
      </c>
      <c r="K62">
        <f t="shared" si="1"/>
        <v>1</v>
      </c>
    </row>
    <row r="63" spans="1:11" x14ac:dyDescent="0.8">
      <c r="A63" s="10">
        <v>45859</v>
      </c>
      <c r="B63" t="s">
        <v>42</v>
      </c>
      <c r="C63" t="s">
        <v>55</v>
      </c>
      <c r="D63" t="s">
        <v>56</v>
      </c>
      <c r="E63" t="s">
        <v>57</v>
      </c>
      <c r="F63">
        <v>0</v>
      </c>
      <c r="G63">
        <v>0</v>
      </c>
      <c r="H63">
        <v>-55100</v>
      </c>
      <c r="I63">
        <v>0</v>
      </c>
      <c r="J63">
        <v>-55100</v>
      </c>
      <c r="K63">
        <f t="shared" si="1"/>
        <v>0</v>
      </c>
    </row>
    <row r="64" spans="1:11" x14ac:dyDescent="0.8">
      <c r="A64" s="10">
        <v>45858</v>
      </c>
      <c r="B64" t="s">
        <v>42</v>
      </c>
      <c r="C64" t="s">
        <v>43</v>
      </c>
      <c r="D64" t="s">
        <v>140</v>
      </c>
      <c r="E64" t="s">
        <v>54</v>
      </c>
      <c r="F64">
        <v>4255</v>
      </c>
      <c r="G64">
        <v>0</v>
      </c>
      <c r="H64">
        <v>-434</v>
      </c>
      <c r="I64">
        <v>378</v>
      </c>
      <c r="J64">
        <v>4199</v>
      </c>
      <c r="K64">
        <f t="shared" si="1"/>
        <v>1</v>
      </c>
    </row>
    <row r="65" spans="1:11" x14ac:dyDescent="0.8">
      <c r="A65" s="10">
        <v>45858</v>
      </c>
      <c r="B65" t="s">
        <v>42</v>
      </c>
      <c r="C65" t="s">
        <v>43</v>
      </c>
      <c r="D65" t="s">
        <v>141</v>
      </c>
      <c r="E65" t="s">
        <v>54</v>
      </c>
      <c r="F65">
        <v>4255</v>
      </c>
      <c r="G65">
        <v>0</v>
      </c>
      <c r="H65">
        <v>-434</v>
      </c>
      <c r="I65">
        <v>378</v>
      </c>
      <c r="J65">
        <v>4199</v>
      </c>
      <c r="K65">
        <f t="shared" si="1"/>
        <v>1</v>
      </c>
    </row>
    <row r="66" spans="1:11" x14ac:dyDescent="0.8">
      <c r="A66" s="10">
        <v>45858</v>
      </c>
      <c r="B66" t="s">
        <v>42</v>
      </c>
      <c r="C66" t="s">
        <v>43</v>
      </c>
      <c r="D66" t="s">
        <v>142</v>
      </c>
      <c r="E66" t="s">
        <v>54</v>
      </c>
      <c r="F66">
        <v>4255</v>
      </c>
      <c r="G66">
        <v>-418</v>
      </c>
      <c r="H66">
        <v>-434</v>
      </c>
      <c r="I66">
        <v>796</v>
      </c>
      <c r="J66">
        <v>4199</v>
      </c>
      <c r="K66">
        <f t="shared" si="1"/>
        <v>1</v>
      </c>
    </row>
    <row r="67" spans="1:11" x14ac:dyDescent="0.8">
      <c r="A67" s="10">
        <v>45857</v>
      </c>
      <c r="B67" t="s">
        <v>42</v>
      </c>
      <c r="C67" t="s">
        <v>43</v>
      </c>
      <c r="D67" t="s">
        <v>143</v>
      </c>
      <c r="E67" t="s">
        <v>54</v>
      </c>
      <c r="F67">
        <v>4255</v>
      </c>
      <c r="G67">
        <v>0</v>
      </c>
      <c r="H67">
        <v>-434</v>
      </c>
      <c r="I67">
        <v>378</v>
      </c>
      <c r="J67">
        <v>4199</v>
      </c>
      <c r="K67">
        <f t="shared" si="1"/>
        <v>1</v>
      </c>
    </row>
    <row r="68" spans="1:11" x14ac:dyDescent="0.8">
      <c r="A68" s="10">
        <v>45850</v>
      </c>
      <c r="B68" t="s">
        <v>42</v>
      </c>
      <c r="C68" t="s">
        <v>144</v>
      </c>
      <c r="D68" t="s">
        <v>56</v>
      </c>
      <c r="E68" t="s">
        <v>56</v>
      </c>
      <c r="F68">
        <v>0</v>
      </c>
      <c r="G68">
        <v>0</v>
      </c>
      <c r="H68">
        <v>0</v>
      </c>
      <c r="I68">
        <v>10625</v>
      </c>
      <c r="J68">
        <v>10625</v>
      </c>
      <c r="K68">
        <f t="shared" si="1"/>
        <v>0</v>
      </c>
    </row>
    <row r="69" spans="1:11" x14ac:dyDescent="0.8">
      <c r="A69" s="10">
        <v>45847</v>
      </c>
      <c r="B69" t="s">
        <v>42</v>
      </c>
      <c r="C69" t="s">
        <v>55</v>
      </c>
      <c r="D69" t="s">
        <v>56</v>
      </c>
      <c r="E69" t="s">
        <v>58</v>
      </c>
      <c r="F69">
        <v>0</v>
      </c>
      <c r="G69">
        <v>0</v>
      </c>
      <c r="H69">
        <v>-5390</v>
      </c>
      <c r="I69">
        <v>0</v>
      </c>
      <c r="J69">
        <v>-5390</v>
      </c>
      <c r="K69">
        <f t="shared" si="1"/>
        <v>0</v>
      </c>
    </row>
    <row r="70" spans="1:11" x14ac:dyDescent="0.8">
      <c r="A70" s="10">
        <v>45845</v>
      </c>
      <c r="B70" t="s">
        <v>42</v>
      </c>
      <c r="C70" t="s">
        <v>55</v>
      </c>
      <c r="D70" t="s">
        <v>56</v>
      </c>
      <c r="E70" t="s">
        <v>64</v>
      </c>
      <c r="F70">
        <v>0</v>
      </c>
      <c r="G70">
        <v>0</v>
      </c>
      <c r="H70">
        <v>0</v>
      </c>
      <c r="I70">
        <v>-155</v>
      </c>
      <c r="J70">
        <v>-155</v>
      </c>
      <c r="K70">
        <f t="shared" si="1"/>
        <v>0</v>
      </c>
    </row>
    <row r="71" spans="1:11" x14ac:dyDescent="0.8">
      <c r="F71">
        <f>SUM(F2:F70)</f>
        <v>297845</v>
      </c>
      <c r="G71">
        <f>SUM(G2:G70)</f>
        <v>-3530</v>
      </c>
      <c r="H71">
        <f>SUM(H2:H70)</f>
        <v>-110068</v>
      </c>
      <c r="I71">
        <f>SUM(I2:I70)</f>
        <v>44767</v>
      </c>
      <c r="J71">
        <f>SUM(J2:J70)</f>
        <v>229014</v>
      </c>
      <c r="K71">
        <f t="shared" si="1"/>
        <v>82</v>
      </c>
    </row>
    <row r="72" spans="1:11" ht="79.5" x14ac:dyDescent="0.8">
      <c r="F72" s="21" t="s">
        <v>145</v>
      </c>
      <c r="G72" s="21" t="s">
        <v>146</v>
      </c>
      <c r="H72" s="21" t="s">
        <v>148</v>
      </c>
      <c r="I72" s="21" t="s">
        <v>147</v>
      </c>
    </row>
    <row r="73" spans="1:11" x14ac:dyDescent="0.8">
      <c r="F73">
        <f>ROUND(F71/1.1,0)</f>
        <v>270768</v>
      </c>
      <c r="G73">
        <f>ROUND(G71/1.1,0)</f>
        <v>-3209</v>
      </c>
      <c r="H73">
        <f>ROUND(H71/1.1,0)</f>
        <v>-100062</v>
      </c>
      <c r="I73">
        <f>ROUND(I71/1.1,0)</f>
        <v>40697</v>
      </c>
      <c r="J73">
        <f>ROUND(J71/1.1,0)</f>
        <v>208195</v>
      </c>
    </row>
    <row r="74" spans="1:11" x14ac:dyDescent="0.8">
      <c r="F74" t="s">
        <v>149</v>
      </c>
      <c r="G74" t="s">
        <v>149</v>
      </c>
      <c r="H74" t="s">
        <v>149</v>
      </c>
      <c r="I74" t="s">
        <v>149</v>
      </c>
      <c r="J74" t="s">
        <v>149</v>
      </c>
    </row>
  </sheetData>
  <autoFilter ref="A1:K76" xr:uid="{B4D9AF07-50AC-7F44-B074-C4820E76FF34}"/>
  <sortState xmlns:xlrd2="http://schemas.microsoft.com/office/spreadsheetml/2017/richdata2" ref="A2:K37">
    <sortCondition ref="D2:D37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13"/>
  <sheetViews>
    <sheetView workbookViewId="0">
      <selection activeCell="G23" sqref="G22:G23"/>
    </sheetView>
  </sheetViews>
  <sheetFormatPr defaultColWidth="10.6640625" defaultRowHeight="19.899999999999999" x14ac:dyDescent="0.8"/>
  <sheetData>
    <row r="1" spans="1:11" x14ac:dyDescent="0.8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s="18" t="s">
        <v>63</v>
      </c>
    </row>
    <row r="2" spans="1:11" x14ac:dyDescent="0.8">
      <c r="A2" s="10">
        <v>45869</v>
      </c>
      <c r="B2" t="s">
        <v>69</v>
      </c>
      <c r="C2" t="s">
        <v>43</v>
      </c>
      <c r="D2" t="s">
        <v>70</v>
      </c>
      <c r="E2" t="s">
        <v>54</v>
      </c>
      <c r="F2">
        <v>4254</v>
      </c>
      <c r="G2">
        <v>-182</v>
      </c>
      <c r="H2">
        <v>-1199</v>
      </c>
      <c r="I2">
        <v>561</v>
      </c>
      <c r="J2">
        <v>3434</v>
      </c>
      <c r="K2">
        <f t="shared" ref="K2" si="0">ROUND(F2/3616,0)</f>
        <v>1</v>
      </c>
    </row>
    <row r="3" spans="1:11" x14ac:dyDescent="0.8">
      <c r="A3" s="10">
        <v>45869</v>
      </c>
      <c r="B3" t="s">
        <v>69</v>
      </c>
      <c r="C3" t="s">
        <v>43</v>
      </c>
      <c r="D3" t="s">
        <v>72</v>
      </c>
      <c r="E3" t="s">
        <v>54</v>
      </c>
      <c r="F3">
        <v>17020</v>
      </c>
      <c r="G3">
        <v>0</v>
      </c>
      <c r="H3">
        <v>-6392</v>
      </c>
      <c r="I3">
        <v>1300</v>
      </c>
      <c r="J3">
        <v>11928</v>
      </c>
      <c r="K3">
        <v>5</v>
      </c>
    </row>
    <row r="4" spans="1:11" x14ac:dyDescent="0.8">
      <c r="A4" s="10">
        <v>45869</v>
      </c>
      <c r="B4" t="s">
        <v>69</v>
      </c>
      <c r="C4" t="s">
        <v>43</v>
      </c>
      <c r="D4" t="s">
        <v>73</v>
      </c>
      <c r="E4" t="s">
        <v>54</v>
      </c>
      <c r="F4">
        <v>4255</v>
      </c>
      <c r="G4">
        <v>0</v>
      </c>
      <c r="H4">
        <v>-1199</v>
      </c>
      <c r="I4">
        <v>378</v>
      </c>
      <c r="J4">
        <v>3434</v>
      </c>
      <c r="K4">
        <v>1</v>
      </c>
    </row>
    <row r="5" spans="1:11" x14ac:dyDescent="0.8">
      <c r="A5" s="10">
        <v>45869</v>
      </c>
      <c r="B5" t="s">
        <v>69</v>
      </c>
      <c r="C5" t="s">
        <v>43</v>
      </c>
      <c r="D5" t="s">
        <v>74</v>
      </c>
      <c r="E5" t="s">
        <v>54</v>
      </c>
      <c r="F5">
        <v>4255</v>
      </c>
      <c r="G5">
        <v>0</v>
      </c>
      <c r="H5">
        <v>-1199</v>
      </c>
      <c r="I5">
        <v>378</v>
      </c>
      <c r="J5">
        <v>3434</v>
      </c>
      <c r="K5">
        <v>1</v>
      </c>
    </row>
    <row r="6" spans="1:11" x14ac:dyDescent="0.8">
      <c r="A6" s="10">
        <v>45869</v>
      </c>
      <c r="B6" t="s">
        <v>69</v>
      </c>
      <c r="C6" t="s">
        <v>43</v>
      </c>
      <c r="D6" t="s">
        <v>78</v>
      </c>
      <c r="E6" t="s">
        <v>54</v>
      </c>
      <c r="F6">
        <v>4255</v>
      </c>
      <c r="G6">
        <v>0</v>
      </c>
      <c r="H6">
        <v>-1199</v>
      </c>
      <c r="I6">
        <v>378</v>
      </c>
      <c r="J6">
        <v>3434</v>
      </c>
      <c r="K6">
        <v>1</v>
      </c>
    </row>
    <row r="7" spans="1:11" x14ac:dyDescent="0.8">
      <c r="A7" s="10">
        <v>45868</v>
      </c>
      <c r="B7" t="s">
        <v>69</v>
      </c>
      <c r="C7" t="s">
        <v>43</v>
      </c>
      <c r="D7" t="s">
        <v>88</v>
      </c>
      <c r="E7" t="s">
        <v>54</v>
      </c>
      <c r="F7">
        <v>4255</v>
      </c>
      <c r="G7">
        <v>-709</v>
      </c>
      <c r="H7">
        <v>-1128</v>
      </c>
      <c r="I7">
        <v>662</v>
      </c>
      <c r="J7">
        <v>3080</v>
      </c>
      <c r="K7">
        <v>1</v>
      </c>
    </row>
    <row r="8" spans="1:11" x14ac:dyDescent="0.8">
      <c r="A8" s="10">
        <v>45867</v>
      </c>
      <c r="B8" t="s">
        <v>69</v>
      </c>
      <c r="C8" t="s">
        <v>43</v>
      </c>
      <c r="D8" t="s">
        <v>105</v>
      </c>
      <c r="E8" t="s">
        <v>54</v>
      </c>
      <c r="F8">
        <v>12765</v>
      </c>
      <c r="G8">
        <v>-1818</v>
      </c>
      <c r="H8">
        <v>-3384</v>
      </c>
      <c r="I8">
        <v>1677</v>
      </c>
      <c r="J8">
        <v>9240</v>
      </c>
      <c r="K8">
        <v>4</v>
      </c>
    </row>
    <row r="9" spans="1:11" x14ac:dyDescent="0.8">
      <c r="A9" s="10">
        <v>45867</v>
      </c>
      <c r="B9" t="s">
        <v>69</v>
      </c>
      <c r="C9" t="s">
        <v>43</v>
      </c>
      <c r="D9" t="s">
        <v>106</v>
      </c>
      <c r="E9" t="s">
        <v>54</v>
      </c>
      <c r="F9">
        <v>4255</v>
      </c>
      <c r="G9">
        <v>-501</v>
      </c>
      <c r="H9">
        <v>-1128</v>
      </c>
      <c r="I9">
        <v>454</v>
      </c>
      <c r="J9">
        <v>3080</v>
      </c>
      <c r="K9">
        <v>1</v>
      </c>
    </row>
    <row r="10" spans="1:11" x14ac:dyDescent="0.8">
      <c r="A10" s="10">
        <v>45867</v>
      </c>
      <c r="B10" t="s">
        <v>69</v>
      </c>
      <c r="C10" t="s">
        <v>43</v>
      </c>
      <c r="D10" t="s">
        <v>107</v>
      </c>
      <c r="E10" t="s">
        <v>54</v>
      </c>
      <c r="F10">
        <v>4255</v>
      </c>
      <c r="G10">
        <v>0</v>
      </c>
      <c r="H10">
        <v>-434</v>
      </c>
      <c r="I10">
        <v>378</v>
      </c>
      <c r="J10">
        <v>4199</v>
      </c>
      <c r="K10">
        <v>1</v>
      </c>
    </row>
    <row r="11" spans="1:11" x14ac:dyDescent="0.8">
      <c r="A11" s="10">
        <v>45867</v>
      </c>
      <c r="B11" t="s">
        <v>69</v>
      </c>
      <c r="C11" t="s">
        <v>43</v>
      </c>
      <c r="D11" t="s">
        <v>115</v>
      </c>
      <c r="E11" t="s">
        <v>54</v>
      </c>
      <c r="F11">
        <v>4255</v>
      </c>
      <c r="G11">
        <v>0</v>
      </c>
      <c r="H11">
        <v>-1199</v>
      </c>
      <c r="I11">
        <v>378</v>
      </c>
      <c r="J11">
        <v>3434</v>
      </c>
      <c r="K11">
        <v>1</v>
      </c>
    </row>
    <row r="12" spans="1:11" x14ac:dyDescent="0.8">
      <c r="A12" s="10">
        <v>45867</v>
      </c>
      <c r="B12" t="s">
        <v>69</v>
      </c>
      <c r="C12" t="s">
        <v>43</v>
      </c>
      <c r="D12" t="s">
        <v>116</v>
      </c>
      <c r="E12" t="s">
        <v>54</v>
      </c>
      <c r="F12">
        <v>4254</v>
      </c>
      <c r="G12">
        <v>0</v>
      </c>
      <c r="H12">
        <v>-1553</v>
      </c>
      <c r="I12">
        <v>733</v>
      </c>
      <c r="J12">
        <v>3434</v>
      </c>
      <c r="K12">
        <v>1</v>
      </c>
    </row>
    <row r="13" spans="1:11" x14ac:dyDescent="0.8">
      <c r="A13" s="10">
        <v>45867</v>
      </c>
      <c r="B13" t="s">
        <v>69</v>
      </c>
      <c r="C13" t="s">
        <v>43</v>
      </c>
      <c r="D13" t="s">
        <v>118</v>
      </c>
      <c r="E13" t="s">
        <v>54</v>
      </c>
      <c r="F13">
        <v>4255</v>
      </c>
      <c r="G13">
        <v>0</v>
      </c>
      <c r="H13">
        <v>-1199</v>
      </c>
      <c r="I13">
        <v>378</v>
      </c>
      <c r="J13">
        <v>3434</v>
      </c>
      <c r="K13">
        <v>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留保中8月請求時確認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2025-07-08T08:37:57Z</cp:lastPrinted>
  <dcterms:created xsi:type="dcterms:W3CDTF">2025-01-24T08:40:17Z</dcterms:created>
  <dcterms:modified xsi:type="dcterms:W3CDTF">2025-08-08T05:54:23Z</dcterms:modified>
</cp:coreProperties>
</file>