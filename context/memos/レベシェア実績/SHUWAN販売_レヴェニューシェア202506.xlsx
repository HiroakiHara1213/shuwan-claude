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酒碗/"/>
    </mc:Choice>
  </mc:AlternateContent>
  <xr:revisionPtr revIDLastSave="0" documentId="8_{E70C53BD-FF60-477A-9EF5-8F81CE68D984}" xr6:coauthVersionLast="47" xr6:coauthVersionMax="47" xr10:uidLastSave="{00000000-0000-0000-0000-000000000000}"/>
  <bookViews>
    <workbookView minimized="1" xWindow="1808" yWindow="1808" windowWidth="17999" windowHeight="10455" xr2:uid="{9516FBB4-3A9B-6D45-85D3-EE0B367FE07A}"/>
  </bookViews>
  <sheets>
    <sheet name="レヴェニューシェア資料" sheetId="2" r:id="rId1"/>
    <sheet name="Amazon詳細" sheetId="5" r:id="rId2"/>
    <sheet name="shopify手数料試算" sheetId="3" r:id="rId3"/>
  </sheets>
  <definedNames>
    <definedName name="_xlnm._FilterDatabase" localSheetId="1" hidden="1">Amazon詳細!$A$1:$K$88</definedName>
    <definedName name="payment_transactions_export_1__2" localSheetId="2">shopify手数料試算!#REF!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G9" i="2" a="1"/>
  <c r="G9" i="2" s="1"/>
  <c r="G8" i="2"/>
  <c r="F8" i="2"/>
  <c r="B30" i="2"/>
  <c r="D23" i="2"/>
  <c r="C21" i="2"/>
  <c r="C20" i="2"/>
  <c r="D15" i="2"/>
  <c r="D13" i="2"/>
  <c r="D14" i="2"/>
  <c r="D12" i="2"/>
  <c r="J87" i="5"/>
  <c r="I87" i="5"/>
  <c r="H87" i="5"/>
  <c r="F87" i="5"/>
  <c r="G87" i="5"/>
  <c r="D11" i="2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3" i="5"/>
  <c r="D6" i="2"/>
  <c r="D5" i="2"/>
  <c r="K87" i="5" l="1"/>
  <c r="D7" i="2" l="1"/>
  <c r="D16" i="2" l="1"/>
  <c r="B29" i="2" s="1"/>
  <c r="B11" i="2"/>
  <c r="C8" i="2"/>
  <c r="D3" i="2"/>
  <c r="D20" i="2" l="1"/>
  <c r="D4" i="2"/>
  <c r="D8" i="2" s="1"/>
  <c r="C22" i="2" l="1"/>
  <c r="I17" i="3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22" i="2"/>
  <c r="B27" i="2" l="1"/>
  <c r="D21" i="2"/>
  <c r="D22" i="2"/>
  <c r="D24" i="2" l="1"/>
  <c r="B28" i="2" s="1"/>
  <c r="B31" i="2" l="1"/>
  <c r="B3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<sst xmlns="http://schemas.openxmlformats.org/spreadsheetml/2006/main" count="445" uniqueCount="151">
  <si>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</si>
  <si>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</si>
  <si>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</si>
  <si>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</si>
  <si>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</si>
  <si>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</si>
  <si>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</si>
  <si>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</si>
  <si>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</si>
  <si>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</si>
  <si>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</si>
  <si>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</si>
  <si>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</si>
  <si>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</si>
  <si>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</si>
  <si>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</si>
  <si>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</si>
  <si>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</si>
  <si>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</si>
  <si>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</si>
  <si>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</si>
  <si>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</si>
  <si>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</si>
  <si>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</si>
  <si>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</si>
  <si>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</si>
  <si>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</si>
  <si>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</si>
  <si>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</si>
  <si>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</si>
  <si>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</si>
  <si>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</si>
  <si>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オンラインショップ</t>
    <rPh sb="0" eb="2">
      <t>オンラインショップ</t>
    </rPh>
    <phoneticPr fontId="1"/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</si>
  <si>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</si>
  <si>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</si>
  <si>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</si>
  <si>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</si>
  <si>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</si>
  <si>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</si>
  <si>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</si>
  <si>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その他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</si>
  <si>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</si>
  <si>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</si>
  <si>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</si>
  <si>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</si>
  <si>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</si>
  <si>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</si>
  <si>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</si>
  <si>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</si>
  <si>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</si>
  <si>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</si>
  <si>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</si>
  <si>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</si>
  <si>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</si>
  <si>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</si>
  <si>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SHUWAN 正規品 公式 日本酒グラス, 酒器,270ml, 磁器,食洗機対応...</t>
  </si>
  <si>
    <t>サービス料金</t>
  </si>
  <si>
    <t>---</t>
  </si>
  <si>
    <t>広告費用</t>
  </si>
  <si>
    <t>月額登録料：</t>
  </si>
  <si>
    <t>〃</t>
    <phoneticPr fontId="1"/>
  </si>
  <si>
    <t>その他費用</t>
    <phoneticPr fontId="1"/>
  </si>
  <si>
    <t>広告費用/月額登録料</t>
    <phoneticPr fontId="1"/>
  </si>
  <si>
    <t>SHUWAN箱あり</t>
    <rPh sb="6" eb="7">
      <t xml:space="preserve">ハコアリ </t>
    </rPh>
    <phoneticPr fontId="1"/>
  </si>
  <si>
    <t>503-9060389-6981446</t>
  </si>
  <si>
    <t>503-6147644-9362257</t>
  </si>
  <si>
    <t>返金</t>
  </si>
  <si>
    <t>販売数量</t>
    <rPh sb="0" eb="2">
      <t xml:space="preserve">ハンバイ </t>
    </rPh>
    <rPh sb="2" eb="4">
      <t xml:space="preserve">スウリョウ </t>
    </rPh>
    <phoneticPr fontId="5"/>
  </si>
  <si>
    <t>SHUWAN箱なし</t>
    <rPh sb="6" eb="7">
      <t xml:space="preserve">ハコアリ </t>
    </rPh>
    <phoneticPr fontId="1"/>
  </si>
  <si>
    <t>カネセ商店38
酒泉洞掘一90
ヴィノスやまざき30
さざなみ酒店30</t>
    <rPh sb="3" eb="5">
      <t xml:space="preserve">ショウテン </t>
    </rPh>
    <rPh sb="8" eb="13">
      <t xml:space="preserve">シュセンドウホリイチ </t>
    </rPh>
    <rPh sb="31" eb="33">
      <t xml:space="preserve">サケテン </t>
    </rPh>
    <phoneticPr fontId="1"/>
  </si>
  <si>
    <t>小宮酒店24
すみの酒店4</t>
    <rPh sb="0" eb="4">
      <t xml:space="preserve">コミヤサケテン </t>
    </rPh>
    <rPh sb="9" eb="11">
      <t xml:space="preserve">サケテン </t>
    </rPh>
    <phoneticPr fontId="1"/>
  </si>
  <si>
    <t>銘壷堂12
ひろがる酒店4</t>
    <phoneticPr fontId="1"/>
  </si>
  <si>
    <t>カネセ商店60</t>
    <rPh sb="0" eb="2">
      <t xml:space="preserve">カネセショウテン </t>
    </rPh>
    <phoneticPr fontId="1"/>
  </si>
  <si>
    <t>249-3166234-9832614</t>
  </si>
  <si>
    <t>503-5334150-8982227</t>
  </si>
  <si>
    <t>250-9211779-8343855</t>
  </si>
  <si>
    <t>503-6076544-9788640</t>
  </si>
  <si>
    <t>503-7009873-9818217</t>
  </si>
  <si>
    <t>503-7500751-5003864</t>
  </si>
  <si>
    <t>250-8473196-5456623</t>
  </si>
  <si>
    <t>503-9975074-9419010</t>
  </si>
  <si>
    <t>250-3752956-2103061</t>
  </si>
  <si>
    <t>250-7307906-5148661</t>
  </si>
  <si>
    <t>503-8919186-4485457</t>
  </si>
  <si>
    <t>503-6213455-7735836</t>
  </si>
  <si>
    <t>503-8920108-5855026</t>
  </si>
  <si>
    <t>250-4446117-2202223</t>
  </si>
  <si>
    <t>249-0925457-2576667</t>
  </si>
  <si>
    <t>503-8283410-3440617</t>
  </si>
  <si>
    <t>503-0673950-7735843</t>
  </si>
  <si>
    <t>249-4147626-1000612</t>
  </si>
  <si>
    <t>503-3853496-8079055</t>
  </si>
  <si>
    <t>503-0843289-1632624</t>
  </si>
  <si>
    <t>249-1884348-0005408</t>
  </si>
  <si>
    <t>503-3406733-9267849</t>
  </si>
  <si>
    <t>249-9611318-3565411</t>
  </si>
  <si>
    <t>250-3184246-7611811</t>
  </si>
  <si>
    <t>250-3248825-8999044</t>
  </si>
  <si>
    <t>250-5857036-6433467</t>
  </si>
  <si>
    <t>503-6601176-2220616</t>
  </si>
  <si>
    <t>503-7865919-6291864</t>
  </si>
  <si>
    <t>250-9595083-3611047</t>
  </si>
  <si>
    <t>503-8475296-0423057</t>
  </si>
  <si>
    <t>503-7844076-0596613</t>
  </si>
  <si>
    <t>503-7904847-3119004</t>
  </si>
  <si>
    <t>249-3564962-0244638</t>
  </si>
  <si>
    <t>503-5236668-7903046</t>
  </si>
  <si>
    <t>503-7653991-9527018</t>
  </si>
  <si>
    <t>249-6287722-3811828</t>
  </si>
  <si>
    <t>250-9847818-6695847</t>
  </si>
  <si>
    <t>250-0401287-6635840</t>
  </si>
  <si>
    <t>249-2333107-5484624</t>
  </si>
  <si>
    <t>249-9340757-4116657</t>
  </si>
  <si>
    <t>250-5012833-1162264</t>
  </si>
  <si>
    <t>250-3696778-6758203</t>
  </si>
  <si>
    <t>503-4320754-5417468</t>
  </si>
  <si>
    <t>503-7250289-0588637</t>
  </si>
  <si>
    <t>249-6183373-1655850</t>
  </si>
  <si>
    <t>250-3676985-3801447</t>
  </si>
  <si>
    <t>250-9089740-1724667</t>
  </si>
  <si>
    <t>249-7668868-5699864</t>
  </si>
  <si>
    <t>503-7576460-8955035</t>
  </si>
  <si>
    <t>249-1317146-6095804</t>
  </si>
  <si>
    <t>250-3734476-6404604</t>
  </si>
  <si>
    <t>503-1023538-0375020</t>
  </si>
  <si>
    <t>250-7553035-9002261</t>
  </si>
  <si>
    <t>249-9510777-7929455</t>
  </si>
  <si>
    <t>249-7869958-8178208</t>
  </si>
  <si>
    <t>503-9396895-2443845</t>
  </si>
  <si>
    <t>250-5284031-3781462</t>
  </si>
  <si>
    <t>249-7887384-4233455</t>
  </si>
  <si>
    <t>503-1147959-7715849</t>
  </si>
  <si>
    <t>503-0601942-7940651</t>
  </si>
  <si>
    <t>503-1065216-4942248</t>
  </si>
  <si>
    <t>250-2875981-8222256</t>
  </si>
  <si>
    <t>503-5741678-1343028</t>
  </si>
  <si>
    <t>249-5215211-5481445</t>
  </si>
  <si>
    <t>249-1598282-8093425</t>
  </si>
  <si>
    <t>249-7087982-7018225</t>
  </si>
  <si>
    <t>249-3876047-3900605</t>
  </si>
  <si>
    <t>503-0004948-3937418</t>
  </si>
  <si>
    <t>250-3885717-4807038</t>
  </si>
  <si>
    <t>503-5329218-9099000</t>
  </si>
  <si>
    <t>249-8532225-6131066</t>
  </si>
  <si>
    <t>503-3849235-8825417</t>
  </si>
  <si>
    <t>503-7100253-9417437</t>
  </si>
  <si>
    <t>503-7949543-1487049</t>
  </si>
  <si>
    <t>FBA保管手数料：</t>
  </si>
  <si>
    <t>503-8418934-0435011</t>
  </si>
  <si>
    <t>503-6038688-8663866</t>
  </si>
  <si>
    <t>249-2157599-3895827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</si>
</sst>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6" fontId="4" fillId="0" borderId="1" xfId="2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6" fontId="3" fillId="0" borderId="0" xfId="0" applyNumberFormat="1" applyFont="1">
      <alignment vertical="center"/>
    </xf>
    <xf numFmtId="9" fontId="3" fillId="0" borderId="0" xfId="3" applyFont="1">
      <alignment vertical="center"/>
    </xf>
    <xf numFmtId="0" fontId="4" fillId="2" borderId="1" xfId="0" applyFont="1" applyFill="1" applyBorder="1">
      <alignment vertical="center"/>
    </xf>
    <xf numFmtId="6" fontId="4" fillId="2" borderId="1" xfId="2" applyFont="1" applyFill="1" applyBorder="1">
      <alignment vertical="center"/>
    </xf>
    <xf numFmtId="0" fontId="4" fillId="3" borderId="1" xfId="0" applyFont="1" applyFill="1" applyBorder="1">
      <alignment vertical="center"/>
    </xf>
    <xf numFmtId="6" fontId="4" fillId="3" borderId="1" xfId="0" applyNumberFormat="1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G34"/>
  <sheetViews>
    <sheetView tabSelected="1" zoomScale="85" zoomScaleNormal="85" workbookViewId="0">
      <selection activeCell="C4" sqref="C4:C7"/>
    </sheetView>
  </sheetViews>
  <sheetFormatPr defaultColWidth="10.71875" defaultRowHeight="24.4" x14ac:dyDescent="0.8"/>
  <cols>
    <col min="1" max="1" width="29" style="1" bestFit="1" customWidth="1"/>
    <col min="2" max="2" width="12.27734375" style="1" customWidth="1"/>
    <col min="3" max="3" width="7.71875" style="1" bestFit="1" customWidth="1"/>
    <col min="4" max="4" width="12.44140625" style="1" bestFit="1" customWidth="1"/>
    <col min="5" max="5" width="28.83203125" style="1" customWidth="1"/>
    <col min="6" max="6" width="12.1640625" style="1" bestFit="1" customWidth="1"/>
    <col min="7" max="16384" width="10.71875" style="1"/>
  </cols>
  <sheetData>
    <row r="1" spans="1:7" x14ac:dyDescent="0.8">
      <c r="A1" s="1" t="s">
        <v>13</v>
      </c>
    </row>
    <row r="2" spans="1:7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33</v>
      </c>
    </row>
    <row r="3" spans="1:7" x14ac:dyDescent="0.8">
      <c r="A3" s="2" t="s">
        <v>32</v>
      </c>
      <c r="B3" s="3">
        <v>3600</v>
      </c>
      <c r="C3" s="4">
        <v>89</v>
      </c>
      <c r="D3" s="3">
        <f>C3*B3</f>
        <v>320400</v>
      </c>
      <c r="E3" s="15"/>
    </row>
    <row r="4" spans="1:7" ht="48.75" x14ac:dyDescent="0.8">
      <c r="A4" s="2" t="s">
        <v>63</v>
      </c>
      <c r="B4" s="3">
        <v>2880</v>
      </c>
      <c r="C4" s="4">
        <v>28</v>
      </c>
      <c r="D4" s="3">
        <f>C4*B4</f>
        <v>80640</v>
      </c>
      <c r="E4" s="20" t="s">
        <v>70</v>
      </c>
    </row>
    <row r="5" spans="1:7" ht="97.5" x14ac:dyDescent="0.8">
      <c r="A5" s="2" t="s">
        <v>63</v>
      </c>
      <c r="B5" s="3">
        <v>2520</v>
      </c>
      <c r="C5" s="4">
        <v>188</v>
      </c>
      <c r="D5" s="3">
        <f>C5*B5</f>
        <v>473760</v>
      </c>
      <c r="E5" s="20" t="s">
        <v>69</v>
      </c>
    </row>
    <row r="6" spans="1:7" ht="48.75" x14ac:dyDescent="0.8">
      <c r="A6" s="2" t="s">
        <v>68</v>
      </c>
      <c r="B6" s="3">
        <v>2680</v>
      </c>
      <c r="C6" s="4">
        <v>16</v>
      </c>
      <c r="D6" s="3">
        <f>C6*B6</f>
        <v>42880</v>
      </c>
      <c r="E6" s="20" t="s">
        <v>71</v>
      </c>
    </row>
    <row r="7" spans="1:7" x14ac:dyDescent="0.8">
      <c r="A7" s="2" t="s">
        <v>68</v>
      </c>
      <c r="B7" s="3">
        <v>2320</v>
      </c>
      <c r="C7" s="4">
        <v>60</v>
      </c>
      <c r="D7" s="3">
        <f>C7*B7</f>
        <v>139200</v>
      </c>
      <c r="E7" s="20" t="s">
        <v>72</v>
      </c>
    </row>
    <row r="8" spans="1:7" x14ac:dyDescent="0.8">
      <c r="A8" s="2" t="s">
        <v>34</v>
      </c>
      <c r="B8" s="11"/>
      <c r="C8" s="14">
        <f>SUM(C3:C7)</f>
        <v>381</v>
      </c>
      <c r="D8" s="3">
        <f>SUM(D3:D7)</f>
        <v>1056880</v>
      </c>
      <c r="E8" s="15"/>
      <c r="F8" s="21">
        <f>+D8+D11</f>
        <v>1384853</v>
      </c>
      <c r="G8" s="22">
        <f>+D3/F8</f>
        <v>0.23136029600253602</v>
      </c>
    </row>
    <row r="9" spans="1:7" x14ac:dyDescent="0.8">
      <c r="A9" s="5"/>
      <c r="B9" s="5"/>
      <c r="C9" s="5"/>
      <c r="D9" s="6"/>
      <c r="G9" s="22" t="e" cm="1" vm="1">
        <f t="array" aca="1" ref="G9" ca="1">+D4:D7/F8</f>
        <v>#VALUE!</v>
      </c>
    </row>
    <row r="10" spans="1:7" x14ac:dyDescent="0.8">
      <c r="A10" s="2" t="s">
        <v>42</v>
      </c>
      <c r="B10" s="2" t="s">
        <v>5</v>
      </c>
      <c r="C10" s="2" t="s">
        <v>3</v>
      </c>
      <c r="D10" s="2" t="s">
        <v>14</v>
      </c>
      <c r="E10" s="15" t="s">
        <v>33</v>
      </c>
      <c r="G10" s="22">
        <f>+D11/F8</f>
        <v>0.23682874644456847</v>
      </c>
    </row>
    <row r="11" spans="1:7" x14ac:dyDescent="0.8">
      <c r="A11" s="2" t="s">
        <v>37</v>
      </c>
      <c r="B11" s="3">
        <f>ROUND(D11/C11,0)</f>
        <v>3313</v>
      </c>
      <c r="C11" s="2">
        <v>99</v>
      </c>
      <c r="D11" s="3">
        <f>ROUND(360770/1.1,0)</f>
        <v>327973</v>
      </c>
      <c r="E11" s="15"/>
    </row>
    <row r="12" spans="1:7" x14ac:dyDescent="0.8">
      <c r="A12" s="2" t="s">
        <v>38</v>
      </c>
      <c r="B12" s="11"/>
      <c r="C12" s="11"/>
      <c r="D12" s="3">
        <f>ROUND(8075/1.1,0)</f>
        <v>7341</v>
      </c>
      <c r="E12" s="15" t="s">
        <v>60</v>
      </c>
    </row>
    <row r="13" spans="1:7" x14ac:dyDescent="0.8">
      <c r="A13" s="2" t="s">
        <v>39</v>
      </c>
      <c r="B13" s="11"/>
      <c r="C13" s="11"/>
      <c r="D13" s="3">
        <f>ROUND(91465/1.1,0)</f>
        <v>83150</v>
      </c>
      <c r="E13" s="15" t="s">
        <v>60</v>
      </c>
    </row>
    <row r="14" spans="1:7" x14ac:dyDescent="0.8">
      <c r="A14" s="2" t="s">
        <v>40</v>
      </c>
      <c r="B14" s="11"/>
      <c r="C14" s="11"/>
      <c r="D14" s="3">
        <f>ROUND(-37881/1.1,0)</f>
        <v>-34437</v>
      </c>
      <c r="E14" s="15"/>
    </row>
    <row r="15" spans="1:7" x14ac:dyDescent="0.8">
      <c r="A15" s="2" t="s">
        <v>61</v>
      </c>
      <c r="B15" s="19"/>
      <c r="C15" s="19"/>
      <c r="D15" s="3">
        <f>ROUND(55062/1.1,0)</f>
        <v>50056</v>
      </c>
      <c r="E15" s="15" t="s">
        <v>62</v>
      </c>
    </row>
    <row r="16" spans="1:7" x14ac:dyDescent="0.8">
      <c r="A16" s="2" t="s">
        <v>16</v>
      </c>
      <c r="B16" s="2"/>
      <c r="C16" s="2"/>
      <c r="D16" s="3">
        <f>D11-D12-D13-D14-D15</f>
        <v>221863</v>
      </c>
      <c r="E16" s="15"/>
    </row>
    <row r="17" spans="1:5" x14ac:dyDescent="0.8">
      <c r="A17" s="5"/>
      <c r="B17" s="5"/>
      <c r="C17" s="5"/>
      <c r="D17" s="6"/>
    </row>
    <row r="18" spans="1:5" x14ac:dyDescent="0.8">
      <c r="A18" s="5" t="s">
        <v>4</v>
      </c>
      <c r="B18" s="7"/>
      <c r="D18" s="7"/>
    </row>
    <row r="19" spans="1:5" x14ac:dyDescent="0.8">
      <c r="A19" s="2" t="s">
        <v>2</v>
      </c>
      <c r="B19" s="2" t="s">
        <v>5</v>
      </c>
      <c r="C19" s="2" t="s">
        <v>3</v>
      </c>
      <c r="D19" s="2" t="s">
        <v>14</v>
      </c>
      <c r="E19" s="15" t="s">
        <v>33</v>
      </c>
    </row>
    <row r="20" spans="1:5" x14ac:dyDescent="0.8">
      <c r="A20" s="2" t="s">
        <v>9</v>
      </c>
      <c r="B20" s="3">
        <v>1050</v>
      </c>
      <c r="C20" s="4">
        <f>C8+C11</f>
        <v>480</v>
      </c>
      <c r="D20" s="3">
        <f>B20*C20</f>
        <v>504000</v>
      </c>
      <c r="E20" s="15"/>
    </row>
    <row r="21" spans="1:5" x14ac:dyDescent="0.8">
      <c r="A21" s="2" t="s">
        <v>6</v>
      </c>
      <c r="B21" s="3">
        <v>100</v>
      </c>
      <c r="C21" s="4">
        <f>C20-C6-C7</f>
        <v>404</v>
      </c>
      <c r="D21" s="3">
        <f>B21*C21</f>
        <v>40400</v>
      </c>
      <c r="E21" s="15"/>
    </row>
    <row r="22" spans="1:5" x14ac:dyDescent="0.8">
      <c r="A22" s="2" t="s">
        <v>7</v>
      </c>
      <c r="B22" s="3">
        <f>ROUND(150/1.1,0)</f>
        <v>136</v>
      </c>
      <c r="C22" s="4">
        <f>C8</f>
        <v>381</v>
      </c>
      <c r="D22" s="3">
        <f>B22*C22</f>
        <v>51816</v>
      </c>
      <c r="E22" s="15"/>
    </row>
    <row r="23" spans="1:5" x14ac:dyDescent="0.8">
      <c r="A23" s="16" t="s">
        <v>36</v>
      </c>
      <c r="B23" s="11"/>
      <c r="C23" s="12"/>
      <c r="D23" s="3">
        <f>ROUND(D3*0.0373,0)</f>
        <v>11951</v>
      </c>
      <c r="E23" s="17">
        <v>-3.73E-2</v>
      </c>
    </row>
    <row r="24" spans="1:5" x14ac:dyDescent="0.8">
      <c r="A24" s="2" t="s">
        <v>35</v>
      </c>
      <c r="B24" s="13"/>
      <c r="C24" s="13"/>
      <c r="D24" s="3">
        <f>SUM(D20:D23)</f>
        <v>608167</v>
      </c>
      <c r="E24" s="15"/>
    </row>
    <row r="25" spans="1:5" x14ac:dyDescent="0.8">
      <c r="A25" s="5"/>
      <c r="B25" s="5"/>
      <c r="C25" s="5"/>
      <c r="D25" s="6"/>
    </row>
    <row r="26" spans="1:5" x14ac:dyDescent="0.8">
      <c r="A26" s="2" t="s">
        <v>2</v>
      </c>
      <c r="B26" s="2" t="s">
        <v>8</v>
      </c>
    </row>
    <row r="27" spans="1:5" x14ac:dyDescent="0.8">
      <c r="A27" s="2" t="s">
        <v>10</v>
      </c>
      <c r="B27" s="8">
        <f>D8</f>
        <v>1056880</v>
      </c>
    </row>
    <row r="28" spans="1:5" x14ac:dyDescent="0.8">
      <c r="A28" s="2" t="s">
        <v>11</v>
      </c>
      <c r="B28" s="8">
        <f>D24</f>
        <v>608167</v>
      </c>
    </row>
    <row r="29" spans="1:5" x14ac:dyDescent="0.8">
      <c r="A29" s="2" t="s">
        <v>41</v>
      </c>
      <c r="B29" s="8">
        <f>D16</f>
        <v>221863</v>
      </c>
    </row>
    <row r="30" spans="1:5" x14ac:dyDescent="0.8">
      <c r="A30" s="25" t="s">
        <v>0</v>
      </c>
      <c r="B30" s="26">
        <f>B27-B28+B29</f>
        <v>670576</v>
      </c>
    </row>
    <row r="31" spans="1:5" x14ac:dyDescent="0.8">
      <c r="A31" s="23" t="s">
        <v>1</v>
      </c>
      <c r="B31" s="24">
        <f>ROUND(B30*0.6,0)</f>
        <v>402346</v>
      </c>
    </row>
    <row r="32" spans="1:5" x14ac:dyDescent="0.8">
      <c r="A32" s="2" t="s">
        <v>12</v>
      </c>
      <c r="B32" s="3">
        <f>B30*0.4</f>
        <v>268230.40000000002</v>
      </c>
    </row>
    <row r="34" spans="1:1" x14ac:dyDescent="0.8">
      <c r="A34" s="1" t="s">
        <v>15</v>
      </c>
    </row>
  </sheetData>
  <phoneticPr fontId="1"/>
  <pageMargins left="0.25" right="0.25" top="0.75" bottom="0.75" header="0.3" footer="0.3"/>
  <pageSetup paperSize="9" orientation="portrait" horizontalDpi="0" verticalDpi="0"/>
  <headerFooter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K89"/>
  <sheetViews>
    <sheetView topLeftCell="E1" workbookViewId="0">
      <pane xSplit="4980" ySplit="840" topLeftCell="B66" activePane="bottomRight"/>
      <selection sqref="A1:J1048576"/>
      <selection pane="topRight" activeCell="K1" sqref="K1:K1048576"/>
      <selection pane="bottomLeft" activeCell="E1" sqref="A1:XFD1"/>
      <selection pane="bottomRight" activeCell="E100" sqref="E100"/>
    </sheetView>
  </sheetViews>
  <sheetFormatPr defaultColWidth="10.6640625" defaultRowHeight="19.899999999999999" x14ac:dyDescent="0.8"/>
  <cols>
    <col min="1" max="1" width="31.83203125" bestFit="1" customWidth="1"/>
    <col min="2" max="2" width="25.1640625" bestFit="1" customWidth="1"/>
    <col min="3" max="3" width="35.71875" bestFit="1" customWidth="1"/>
    <col min="4" max="4" width="20.83203125" bestFit="1" customWidth="1"/>
    <col min="5" max="5" width="58" bestFit="1" customWidth="1"/>
    <col min="6" max="6" width="12" bestFit="1" customWidth="1"/>
    <col min="7" max="7" width="21.44140625" bestFit="1" customWidth="1"/>
    <col min="8" max="8" width="13.27734375" bestFit="1" customWidth="1"/>
    <col min="9" max="9" width="7.44140625" bestFit="1" customWidth="1"/>
    <col min="10" max="10" width="9.83203125" bestFit="1" customWidth="1"/>
    <col min="11" max="11" width="8.5546875" bestFit="1" customWidth="1"/>
  </cols>
  <sheetData>
    <row r="1" spans="1:11" x14ac:dyDescent="0.8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50</v>
      </c>
      <c r="G1" s="18" t="s">
        <v>51</v>
      </c>
      <c r="H1" s="18" t="s">
        <v>52</v>
      </c>
      <c r="I1" s="18" t="s">
        <v>53</v>
      </c>
      <c r="J1" s="18" t="s">
        <v>54</v>
      </c>
      <c r="K1" s="18" t="s">
        <v>67</v>
      </c>
    </row>
    <row r="2" spans="1:11" x14ac:dyDescent="0.8">
      <c r="A2" s="10">
        <v>45840</v>
      </c>
      <c r="B2" t="s">
        <v>43</v>
      </c>
      <c r="C2" t="s">
        <v>56</v>
      </c>
      <c r="D2" t="s">
        <v>57</v>
      </c>
      <c r="E2" t="s">
        <v>58</v>
      </c>
      <c r="F2">
        <v>0</v>
      </c>
      <c r="G2">
        <v>0</v>
      </c>
      <c r="H2">
        <v>-5080</v>
      </c>
      <c r="I2">
        <v>0</v>
      </c>
      <c r="J2">
        <v>-5080</v>
      </c>
    </row>
    <row r="3" spans="1:11" x14ac:dyDescent="0.8">
      <c r="A3" s="10">
        <v>45835</v>
      </c>
      <c r="B3" t="s">
        <v>43</v>
      </c>
      <c r="C3" t="s">
        <v>44</v>
      </c>
      <c r="D3" t="s">
        <v>73</v>
      </c>
      <c r="E3" t="s">
        <v>55</v>
      </c>
      <c r="F3">
        <v>3616</v>
      </c>
      <c r="G3">
        <v>0</v>
      </c>
      <c r="H3">
        <v>-1438</v>
      </c>
      <c r="I3">
        <v>676</v>
      </c>
      <c r="J3">
        <v>2854</v>
      </c>
      <c r="K3">
        <f>ROUND(F3/3616,0)</f>
        <v>1</v>
      </c>
    </row>
    <row r="4" spans="1:11" x14ac:dyDescent="0.8">
      <c r="A4" s="10">
        <v>45835</v>
      </c>
      <c r="B4" t="s">
        <v>43</v>
      </c>
      <c r="C4" t="s">
        <v>44</v>
      </c>
      <c r="D4" t="s">
        <v>74</v>
      </c>
      <c r="E4" t="s">
        <v>55</v>
      </c>
      <c r="F4">
        <v>3616</v>
      </c>
      <c r="G4">
        <v>0</v>
      </c>
      <c r="H4">
        <v>-1084</v>
      </c>
      <c r="I4">
        <v>322</v>
      </c>
      <c r="J4">
        <v>2854</v>
      </c>
      <c r="K4">
        <f t="shared" ref="K4:K67" si="0">ROUND(F4/3616,0)</f>
        <v>1</v>
      </c>
    </row>
    <row r="5" spans="1:11" x14ac:dyDescent="0.8">
      <c r="A5" s="10">
        <v>45834</v>
      </c>
      <c r="B5" t="s">
        <v>43</v>
      </c>
      <c r="C5" t="s">
        <v>44</v>
      </c>
      <c r="D5" t="s">
        <v>75</v>
      </c>
      <c r="E5" t="s">
        <v>55</v>
      </c>
      <c r="F5">
        <v>3616</v>
      </c>
      <c r="G5">
        <v>0</v>
      </c>
      <c r="H5">
        <v>-1084</v>
      </c>
      <c r="I5">
        <v>322</v>
      </c>
      <c r="J5">
        <v>2854</v>
      </c>
      <c r="K5">
        <f t="shared" si="0"/>
        <v>1</v>
      </c>
    </row>
    <row r="6" spans="1:11" x14ac:dyDescent="0.8">
      <c r="A6" s="10">
        <v>45833</v>
      </c>
      <c r="B6" t="s">
        <v>43</v>
      </c>
      <c r="C6" t="s">
        <v>44</v>
      </c>
      <c r="D6" t="s">
        <v>76</v>
      </c>
      <c r="E6" t="s">
        <v>55</v>
      </c>
      <c r="F6">
        <v>7232</v>
      </c>
      <c r="G6">
        <v>-698</v>
      </c>
      <c r="H6">
        <v>-2047</v>
      </c>
      <c r="I6">
        <v>618</v>
      </c>
      <c r="J6">
        <v>5105</v>
      </c>
      <c r="K6">
        <f t="shared" si="0"/>
        <v>2</v>
      </c>
    </row>
    <row r="7" spans="1:11" x14ac:dyDescent="0.8">
      <c r="A7" s="10">
        <v>45833</v>
      </c>
      <c r="B7" t="s">
        <v>43</v>
      </c>
      <c r="C7" t="s">
        <v>44</v>
      </c>
      <c r="D7" t="s">
        <v>77</v>
      </c>
      <c r="E7" t="s">
        <v>55</v>
      </c>
      <c r="F7">
        <v>3616</v>
      </c>
      <c r="G7">
        <v>0</v>
      </c>
      <c r="H7">
        <v>-1084</v>
      </c>
      <c r="I7">
        <v>322</v>
      </c>
      <c r="J7">
        <v>2854</v>
      </c>
      <c r="K7">
        <f t="shared" si="0"/>
        <v>1</v>
      </c>
    </row>
    <row r="8" spans="1:11" x14ac:dyDescent="0.8">
      <c r="A8" s="10">
        <v>45833</v>
      </c>
      <c r="B8" t="s">
        <v>43</v>
      </c>
      <c r="C8" t="s">
        <v>44</v>
      </c>
      <c r="D8" t="s">
        <v>78</v>
      </c>
      <c r="E8" t="s">
        <v>55</v>
      </c>
      <c r="F8">
        <v>3616</v>
      </c>
      <c r="G8">
        <v>-139</v>
      </c>
      <c r="H8">
        <v>-1084</v>
      </c>
      <c r="I8">
        <v>461</v>
      </c>
      <c r="J8">
        <v>2854</v>
      </c>
      <c r="K8">
        <f t="shared" si="0"/>
        <v>1</v>
      </c>
    </row>
    <row r="9" spans="1:11" x14ac:dyDescent="0.8">
      <c r="A9" s="10">
        <v>45832</v>
      </c>
      <c r="B9" t="s">
        <v>43</v>
      </c>
      <c r="C9" t="s">
        <v>44</v>
      </c>
      <c r="D9" t="s">
        <v>79</v>
      </c>
      <c r="E9" t="s">
        <v>55</v>
      </c>
      <c r="F9">
        <v>3616</v>
      </c>
      <c r="G9">
        <v>-209</v>
      </c>
      <c r="H9">
        <v>-1084</v>
      </c>
      <c r="I9">
        <v>531</v>
      </c>
      <c r="J9">
        <v>2854</v>
      </c>
      <c r="K9">
        <f t="shared" si="0"/>
        <v>1</v>
      </c>
    </row>
    <row r="10" spans="1:11" x14ac:dyDescent="0.8">
      <c r="A10" s="10">
        <v>45832</v>
      </c>
      <c r="B10" t="s">
        <v>43</v>
      </c>
      <c r="C10" t="s">
        <v>44</v>
      </c>
      <c r="D10" t="s">
        <v>80</v>
      </c>
      <c r="E10" t="s">
        <v>55</v>
      </c>
      <c r="F10">
        <v>3617</v>
      </c>
      <c r="G10">
        <v>-418</v>
      </c>
      <c r="H10">
        <v>-1084</v>
      </c>
      <c r="I10">
        <v>739</v>
      </c>
      <c r="J10">
        <v>2854</v>
      </c>
      <c r="K10">
        <f t="shared" si="0"/>
        <v>1</v>
      </c>
    </row>
    <row r="11" spans="1:11" x14ac:dyDescent="0.8">
      <c r="A11" s="10">
        <v>45832</v>
      </c>
      <c r="B11" t="s">
        <v>43</v>
      </c>
      <c r="C11" t="s">
        <v>44</v>
      </c>
      <c r="D11" t="s">
        <v>81</v>
      </c>
      <c r="E11" t="s">
        <v>55</v>
      </c>
      <c r="F11">
        <v>3616</v>
      </c>
      <c r="G11">
        <v>0</v>
      </c>
      <c r="H11">
        <v>-1084</v>
      </c>
      <c r="I11">
        <v>322</v>
      </c>
      <c r="J11">
        <v>2854</v>
      </c>
      <c r="K11">
        <f t="shared" si="0"/>
        <v>1</v>
      </c>
    </row>
    <row r="12" spans="1:11" x14ac:dyDescent="0.8">
      <c r="A12" s="10">
        <v>45832</v>
      </c>
      <c r="B12" t="s">
        <v>43</v>
      </c>
      <c r="C12" t="s">
        <v>44</v>
      </c>
      <c r="D12" t="s">
        <v>82</v>
      </c>
      <c r="E12" t="s">
        <v>55</v>
      </c>
      <c r="F12">
        <v>7233</v>
      </c>
      <c r="G12">
        <v>0</v>
      </c>
      <c r="H12">
        <v>-2168</v>
      </c>
      <c r="I12">
        <v>643</v>
      </c>
      <c r="J12">
        <v>5708</v>
      </c>
      <c r="K12">
        <f t="shared" si="0"/>
        <v>2</v>
      </c>
    </row>
    <row r="13" spans="1:11" x14ac:dyDescent="0.8">
      <c r="A13" s="10">
        <v>45832</v>
      </c>
      <c r="B13" t="s">
        <v>43</v>
      </c>
      <c r="C13" t="s">
        <v>44</v>
      </c>
      <c r="D13" t="s">
        <v>83</v>
      </c>
      <c r="E13" t="s">
        <v>55</v>
      </c>
      <c r="F13">
        <v>3616</v>
      </c>
      <c r="G13">
        <v>0</v>
      </c>
      <c r="H13">
        <v>-1084</v>
      </c>
      <c r="I13">
        <v>322</v>
      </c>
      <c r="J13">
        <v>2854</v>
      </c>
      <c r="K13">
        <f t="shared" si="0"/>
        <v>1</v>
      </c>
    </row>
    <row r="14" spans="1:11" x14ac:dyDescent="0.8">
      <c r="A14" s="10">
        <v>45832</v>
      </c>
      <c r="B14" t="s">
        <v>43</v>
      </c>
      <c r="C14" t="s">
        <v>44</v>
      </c>
      <c r="D14" t="s">
        <v>84</v>
      </c>
      <c r="E14" t="s">
        <v>55</v>
      </c>
      <c r="F14">
        <v>3616</v>
      </c>
      <c r="G14">
        <v>0</v>
      </c>
      <c r="H14">
        <v>-1084</v>
      </c>
      <c r="I14">
        <v>322</v>
      </c>
      <c r="J14">
        <v>2854</v>
      </c>
      <c r="K14">
        <f t="shared" si="0"/>
        <v>1</v>
      </c>
    </row>
    <row r="15" spans="1:11" x14ac:dyDescent="0.8">
      <c r="A15" s="10">
        <v>45832</v>
      </c>
      <c r="B15" t="s">
        <v>43</v>
      </c>
      <c r="C15" t="s">
        <v>44</v>
      </c>
      <c r="D15" t="s">
        <v>85</v>
      </c>
      <c r="E15" t="s">
        <v>55</v>
      </c>
      <c r="F15">
        <v>7233</v>
      </c>
      <c r="G15">
        <v>0</v>
      </c>
      <c r="H15">
        <v>-2168</v>
      </c>
      <c r="I15">
        <v>643</v>
      </c>
      <c r="J15">
        <v>5708</v>
      </c>
      <c r="K15">
        <f t="shared" si="0"/>
        <v>2</v>
      </c>
    </row>
    <row r="16" spans="1:11" x14ac:dyDescent="0.8">
      <c r="A16" s="10">
        <v>45831</v>
      </c>
      <c r="B16" t="s">
        <v>43</v>
      </c>
      <c r="C16" t="s">
        <v>44</v>
      </c>
      <c r="D16" t="s">
        <v>86</v>
      </c>
      <c r="E16" t="s">
        <v>55</v>
      </c>
      <c r="F16">
        <v>3616</v>
      </c>
      <c r="G16">
        <v>0</v>
      </c>
      <c r="H16">
        <v>-1084</v>
      </c>
      <c r="I16">
        <v>322</v>
      </c>
      <c r="J16">
        <v>2854</v>
      </c>
      <c r="K16">
        <f t="shared" si="0"/>
        <v>1</v>
      </c>
    </row>
    <row r="17" spans="1:11" x14ac:dyDescent="0.8">
      <c r="A17" s="10">
        <v>45831</v>
      </c>
      <c r="B17" t="s">
        <v>43</v>
      </c>
      <c r="C17" t="s">
        <v>44</v>
      </c>
      <c r="D17" t="s">
        <v>87</v>
      </c>
      <c r="E17" t="s">
        <v>55</v>
      </c>
      <c r="F17">
        <v>3616</v>
      </c>
      <c r="G17">
        <v>0</v>
      </c>
      <c r="H17">
        <v>-1084</v>
      </c>
      <c r="I17">
        <v>322</v>
      </c>
      <c r="J17">
        <v>2854</v>
      </c>
      <c r="K17">
        <f t="shared" si="0"/>
        <v>1</v>
      </c>
    </row>
    <row r="18" spans="1:11" x14ac:dyDescent="0.8">
      <c r="A18" s="10">
        <v>45831</v>
      </c>
      <c r="B18" t="s">
        <v>43</v>
      </c>
      <c r="C18" t="s">
        <v>44</v>
      </c>
      <c r="D18" t="s">
        <v>88</v>
      </c>
      <c r="E18" t="s">
        <v>55</v>
      </c>
      <c r="F18">
        <v>3616</v>
      </c>
      <c r="G18">
        <v>0</v>
      </c>
      <c r="H18">
        <v>-1084</v>
      </c>
      <c r="I18">
        <v>322</v>
      </c>
      <c r="J18">
        <v>2854</v>
      </c>
      <c r="K18">
        <f t="shared" si="0"/>
        <v>1</v>
      </c>
    </row>
    <row r="19" spans="1:11" x14ac:dyDescent="0.8">
      <c r="A19" s="10">
        <v>45831</v>
      </c>
      <c r="B19" t="s">
        <v>43</v>
      </c>
      <c r="C19" t="s">
        <v>44</v>
      </c>
      <c r="D19" t="s">
        <v>89</v>
      </c>
      <c r="E19" t="s">
        <v>55</v>
      </c>
      <c r="F19">
        <v>3616</v>
      </c>
      <c r="G19">
        <v>0</v>
      </c>
      <c r="H19">
        <v>-1084</v>
      </c>
      <c r="I19">
        <v>322</v>
      </c>
      <c r="J19">
        <v>2854</v>
      </c>
      <c r="K19">
        <f t="shared" si="0"/>
        <v>1</v>
      </c>
    </row>
    <row r="20" spans="1:11" x14ac:dyDescent="0.8">
      <c r="A20" s="10">
        <v>45831</v>
      </c>
      <c r="B20" t="s">
        <v>43</v>
      </c>
      <c r="C20" t="s">
        <v>44</v>
      </c>
      <c r="D20" t="s">
        <v>90</v>
      </c>
      <c r="E20" t="s">
        <v>55</v>
      </c>
      <c r="F20">
        <v>3616</v>
      </c>
      <c r="G20">
        <v>0</v>
      </c>
      <c r="H20">
        <v>-1084</v>
      </c>
      <c r="I20">
        <v>322</v>
      </c>
      <c r="J20">
        <v>2854</v>
      </c>
      <c r="K20">
        <f t="shared" si="0"/>
        <v>1</v>
      </c>
    </row>
    <row r="21" spans="1:11" x14ac:dyDescent="0.8">
      <c r="A21" s="10">
        <v>45831</v>
      </c>
      <c r="B21" t="s">
        <v>43</v>
      </c>
      <c r="C21" t="s">
        <v>44</v>
      </c>
      <c r="D21" t="s">
        <v>91</v>
      </c>
      <c r="E21" t="s">
        <v>55</v>
      </c>
      <c r="F21">
        <v>3616</v>
      </c>
      <c r="G21">
        <v>0</v>
      </c>
      <c r="H21">
        <v>-1084</v>
      </c>
      <c r="I21">
        <v>322</v>
      </c>
      <c r="J21">
        <v>2854</v>
      </c>
      <c r="K21">
        <f t="shared" si="0"/>
        <v>1</v>
      </c>
    </row>
    <row r="22" spans="1:11" x14ac:dyDescent="0.8">
      <c r="A22" s="10">
        <v>45831</v>
      </c>
      <c r="B22" t="s">
        <v>43</v>
      </c>
      <c r="C22" t="s">
        <v>44</v>
      </c>
      <c r="D22" t="s">
        <v>92</v>
      </c>
      <c r="E22" t="s">
        <v>55</v>
      </c>
      <c r="F22">
        <v>3616</v>
      </c>
      <c r="G22">
        <v>0</v>
      </c>
      <c r="H22">
        <v>-1084</v>
      </c>
      <c r="I22">
        <v>322</v>
      </c>
      <c r="J22">
        <v>2854</v>
      </c>
      <c r="K22">
        <f t="shared" si="0"/>
        <v>1</v>
      </c>
    </row>
    <row r="23" spans="1:11" x14ac:dyDescent="0.8">
      <c r="A23" s="10">
        <v>45831</v>
      </c>
      <c r="B23" t="s">
        <v>43</v>
      </c>
      <c r="C23" t="s">
        <v>44</v>
      </c>
      <c r="D23" t="s">
        <v>93</v>
      </c>
      <c r="E23" t="s">
        <v>55</v>
      </c>
      <c r="F23">
        <v>3616</v>
      </c>
      <c r="G23">
        <v>0</v>
      </c>
      <c r="H23">
        <v>-1084</v>
      </c>
      <c r="I23">
        <v>322</v>
      </c>
      <c r="J23">
        <v>2854</v>
      </c>
      <c r="K23">
        <f t="shared" si="0"/>
        <v>1</v>
      </c>
    </row>
    <row r="24" spans="1:11" x14ac:dyDescent="0.8">
      <c r="A24" s="10">
        <v>45831</v>
      </c>
      <c r="B24" t="s">
        <v>43</v>
      </c>
      <c r="C24" t="s">
        <v>44</v>
      </c>
      <c r="D24" t="s">
        <v>94</v>
      </c>
      <c r="E24" t="s">
        <v>55</v>
      </c>
      <c r="F24">
        <v>3616</v>
      </c>
      <c r="G24">
        <v>0</v>
      </c>
      <c r="H24">
        <v>-1084</v>
      </c>
      <c r="I24">
        <v>322</v>
      </c>
      <c r="J24">
        <v>2854</v>
      </c>
      <c r="K24">
        <f t="shared" si="0"/>
        <v>1</v>
      </c>
    </row>
    <row r="25" spans="1:11" x14ac:dyDescent="0.8">
      <c r="A25" s="10">
        <v>45831</v>
      </c>
      <c r="B25" t="s">
        <v>43</v>
      </c>
      <c r="C25" t="s">
        <v>44</v>
      </c>
      <c r="D25" t="s">
        <v>95</v>
      </c>
      <c r="E25" t="s">
        <v>55</v>
      </c>
      <c r="F25">
        <v>7233</v>
      </c>
      <c r="G25">
        <v>0</v>
      </c>
      <c r="H25">
        <v>-2168</v>
      </c>
      <c r="I25">
        <v>643</v>
      </c>
      <c r="J25">
        <v>5708</v>
      </c>
      <c r="K25">
        <f t="shared" si="0"/>
        <v>2</v>
      </c>
    </row>
    <row r="26" spans="1:11" x14ac:dyDescent="0.8">
      <c r="A26" s="10">
        <v>45831</v>
      </c>
      <c r="B26" t="s">
        <v>43</v>
      </c>
      <c r="C26" t="s">
        <v>44</v>
      </c>
      <c r="D26" t="s">
        <v>96</v>
      </c>
      <c r="E26" t="s">
        <v>55</v>
      </c>
      <c r="F26">
        <v>7233</v>
      </c>
      <c r="G26">
        <v>0</v>
      </c>
      <c r="H26">
        <v>-2168</v>
      </c>
      <c r="I26">
        <v>643</v>
      </c>
      <c r="J26">
        <v>5708</v>
      </c>
      <c r="K26">
        <f t="shared" si="0"/>
        <v>2</v>
      </c>
    </row>
    <row r="27" spans="1:11" x14ac:dyDescent="0.8">
      <c r="A27" s="10">
        <v>45831</v>
      </c>
      <c r="B27" t="s">
        <v>43</v>
      </c>
      <c r="C27" t="s">
        <v>44</v>
      </c>
      <c r="D27" t="s">
        <v>97</v>
      </c>
      <c r="E27" t="s">
        <v>55</v>
      </c>
      <c r="F27">
        <v>3616</v>
      </c>
      <c r="G27">
        <v>0</v>
      </c>
      <c r="H27">
        <v>-1084</v>
      </c>
      <c r="I27">
        <v>322</v>
      </c>
      <c r="J27">
        <v>2854</v>
      </c>
      <c r="K27">
        <f t="shared" si="0"/>
        <v>1</v>
      </c>
    </row>
    <row r="28" spans="1:11" x14ac:dyDescent="0.8">
      <c r="A28" s="10">
        <v>45831</v>
      </c>
      <c r="B28" t="s">
        <v>43</v>
      </c>
      <c r="C28" t="s">
        <v>44</v>
      </c>
      <c r="D28" t="s">
        <v>98</v>
      </c>
      <c r="E28" t="s">
        <v>55</v>
      </c>
      <c r="F28">
        <v>7233</v>
      </c>
      <c r="G28">
        <v>0</v>
      </c>
      <c r="H28">
        <v>-2168</v>
      </c>
      <c r="I28">
        <v>643</v>
      </c>
      <c r="J28">
        <v>5708</v>
      </c>
      <c r="K28">
        <f t="shared" si="0"/>
        <v>2</v>
      </c>
    </row>
    <row r="29" spans="1:11" x14ac:dyDescent="0.8">
      <c r="A29" s="10">
        <v>45831</v>
      </c>
      <c r="B29" t="s">
        <v>43</v>
      </c>
      <c r="C29" t="s">
        <v>44</v>
      </c>
      <c r="D29" t="s">
        <v>99</v>
      </c>
      <c r="E29" t="s">
        <v>55</v>
      </c>
      <c r="F29">
        <v>3616</v>
      </c>
      <c r="G29">
        <v>0</v>
      </c>
      <c r="H29">
        <v>-1084</v>
      </c>
      <c r="I29">
        <v>322</v>
      </c>
      <c r="J29">
        <v>2854</v>
      </c>
      <c r="K29">
        <f t="shared" si="0"/>
        <v>1</v>
      </c>
    </row>
    <row r="30" spans="1:11" x14ac:dyDescent="0.8">
      <c r="A30" s="10">
        <v>45831</v>
      </c>
      <c r="B30" t="s">
        <v>43</v>
      </c>
      <c r="C30" t="s">
        <v>44</v>
      </c>
      <c r="D30" t="s">
        <v>100</v>
      </c>
      <c r="E30" t="s">
        <v>55</v>
      </c>
      <c r="F30">
        <v>7233</v>
      </c>
      <c r="G30">
        <v>0</v>
      </c>
      <c r="H30">
        <v>-2168</v>
      </c>
      <c r="I30">
        <v>643</v>
      </c>
      <c r="J30">
        <v>5708</v>
      </c>
      <c r="K30">
        <f t="shared" si="0"/>
        <v>2</v>
      </c>
    </row>
    <row r="31" spans="1:11" x14ac:dyDescent="0.8">
      <c r="A31" s="10">
        <v>45831</v>
      </c>
      <c r="B31" t="s">
        <v>43</v>
      </c>
      <c r="C31" t="s">
        <v>44</v>
      </c>
      <c r="D31" t="s">
        <v>101</v>
      </c>
      <c r="E31" t="s">
        <v>55</v>
      </c>
      <c r="F31">
        <v>3616</v>
      </c>
      <c r="G31">
        <v>0</v>
      </c>
      <c r="H31">
        <v>-1438</v>
      </c>
      <c r="I31">
        <v>676</v>
      </c>
      <c r="J31">
        <v>2854</v>
      </c>
      <c r="K31">
        <f t="shared" si="0"/>
        <v>1</v>
      </c>
    </row>
    <row r="32" spans="1:11" x14ac:dyDescent="0.8">
      <c r="A32" s="10">
        <v>45831</v>
      </c>
      <c r="B32" t="s">
        <v>43</v>
      </c>
      <c r="C32" t="s">
        <v>44</v>
      </c>
      <c r="D32" t="s">
        <v>102</v>
      </c>
      <c r="E32" t="s">
        <v>55</v>
      </c>
      <c r="F32">
        <v>3616</v>
      </c>
      <c r="G32">
        <v>0</v>
      </c>
      <c r="H32">
        <v>-1084</v>
      </c>
      <c r="I32">
        <v>322</v>
      </c>
      <c r="J32">
        <v>2854</v>
      </c>
      <c r="K32">
        <f t="shared" si="0"/>
        <v>1</v>
      </c>
    </row>
    <row r="33" spans="1:11" x14ac:dyDescent="0.8">
      <c r="A33" s="10">
        <v>45831</v>
      </c>
      <c r="B33" t="s">
        <v>43</v>
      </c>
      <c r="C33" t="s">
        <v>44</v>
      </c>
      <c r="D33" t="s">
        <v>103</v>
      </c>
      <c r="E33" t="s">
        <v>55</v>
      </c>
      <c r="F33">
        <v>3616</v>
      </c>
      <c r="G33">
        <v>0</v>
      </c>
      <c r="H33">
        <v>-1084</v>
      </c>
      <c r="I33">
        <v>322</v>
      </c>
      <c r="J33">
        <v>2854</v>
      </c>
      <c r="K33">
        <f t="shared" si="0"/>
        <v>1</v>
      </c>
    </row>
    <row r="34" spans="1:11" x14ac:dyDescent="0.8">
      <c r="A34" s="10">
        <v>45831</v>
      </c>
      <c r="B34" t="s">
        <v>43</v>
      </c>
      <c r="C34" t="s">
        <v>44</v>
      </c>
      <c r="D34" t="s">
        <v>104</v>
      </c>
      <c r="E34" t="s">
        <v>55</v>
      </c>
      <c r="F34">
        <v>3616</v>
      </c>
      <c r="G34">
        <v>0</v>
      </c>
      <c r="H34">
        <v>-1084</v>
      </c>
      <c r="I34">
        <v>322</v>
      </c>
      <c r="J34">
        <v>2854</v>
      </c>
      <c r="K34">
        <f t="shared" si="0"/>
        <v>1</v>
      </c>
    </row>
    <row r="35" spans="1:11" x14ac:dyDescent="0.8">
      <c r="A35" s="10">
        <v>45831</v>
      </c>
      <c r="B35" t="s">
        <v>43</v>
      </c>
      <c r="C35" t="s">
        <v>44</v>
      </c>
      <c r="D35" t="s">
        <v>105</v>
      </c>
      <c r="E35" t="s">
        <v>55</v>
      </c>
      <c r="F35">
        <v>3616</v>
      </c>
      <c r="G35">
        <v>0</v>
      </c>
      <c r="H35">
        <v>-1084</v>
      </c>
      <c r="I35">
        <v>322</v>
      </c>
      <c r="J35">
        <v>2854</v>
      </c>
      <c r="K35">
        <f t="shared" si="0"/>
        <v>1</v>
      </c>
    </row>
    <row r="36" spans="1:11" x14ac:dyDescent="0.8">
      <c r="A36" s="10">
        <v>45831</v>
      </c>
      <c r="B36" t="s">
        <v>43</v>
      </c>
      <c r="C36" t="s">
        <v>44</v>
      </c>
      <c r="D36" t="s">
        <v>106</v>
      </c>
      <c r="E36" t="s">
        <v>55</v>
      </c>
      <c r="F36">
        <v>3616</v>
      </c>
      <c r="G36">
        <v>0</v>
      </c>
      <c r="H36">
        <v>-1084</v>
      </c>
      <c r="I36">
        <v>322</v>
      </c>
      <c r="J36">
        <v>2854</v>
      </c>
      <c r="K36">
        <f t="shared" si="0"/>
        <v>1</v>
      </c>
    </row>
    <row r="37" spans="1:11" x14ac:dyDescent="0.8">
      <c r="A37" s="10">
        <v>45831</v>
      </c>
      <c r="B37" t="s">
        <v>43</v>
      </c>
      <c r="C37" t="s">
        <v>44</v>
      </c>
      <c r="D37" t="s">
        <v>107</v>
      </c>
      <c r="E37" t="s">
        <v>55</v>
      </c>
      <c r="F37">
        <v>7233</v>
      </c>
      <c r="G37">
        <v>0</v>
      </c>
      <c r="H37">
        <v>-2168</v>
      </c>
      <c r="I37">
        <v>643</v>
      </c>
      <c r="J37">
        <v>5708</v>
      </c>
      <c r="K37">
        <f t="shared" si="0"/>
        <v>2</v>
      </c>
    </row>
    <row r="38" spans="1:11" x14ac:dyDescent="0.8">
      <c r="A38" s="10">
        <v>45830</v>
      </c>
      <c r="B38" t="s">
        <v>43</v>
      </c>
      <c r="C38" t="s">
        <v>44</v>
      </c>
      <c r="D38" t="s">
        <v>108</v>
      </c>
      <c r="E38" t="s">
        <v>55</v>
      </c>
      <c r="F38">
        <v>7233</v>
      </c>
      <c r="G38">
        <v>-182</v>
      </c>
      <c r="H38">
        <v>-2168</v>
      </c>
      <c r="I38">
        <v>825</v>
      </c>
      <c r="J38">
        <v>5708</v>
      </c>
      <c r="K38">
        <f t="shared" si="0"/>
        <v>2</v>
      </c>
    </row>
    <row r="39" spans="1:11" x14ac:dyDescent="0.8">
      <c r="A39" s="10">
        <v>45830</v>
      </c>
      <c r="B39" t="s">
        <v>43</v>
      </c>
      <c r="C39" t="s">
        <v>44</v>
      </c>
      <c r="D39" t="s">
        <v>109</v>
      </c>
      <c r="E39" t="s">
        <v>55</v>
      </c>
      <c r="F39">
        <v>3616</v>
      </c>
      <c r="G39">
        <v>0</v>
      </c>
      <c r="H39">
        <v>-1084</v>
      </c>
      <c r="I39">
        <v>322</v>
      </c>
      <c r="J39">
        <v>2854</v>
      </c>
      <c r="K39">
        <f t="shared" si="0"/>
        <v>1</v>
      </c>
    </row>
    <row r="40" spans="1:11" x14ac:dyDescent="0.8">
      <c r="A40" s="10">
        <v>45830</v>
      </c>
      <c r="B40" t="s">
        <v>43</v>
      </c>
      <c r="C40" t="s">
        <v>44</v>
      </c>
      <c r="D40" t="s">
        <v>110</v>
      </c>
      <c r="E40" t="s">
        <v>55</v>
      </c>
      <c r="F40">
        <v>3616</v>
      </c>
      <c r="G40">
        <v>0</v>
      </c>
      <c r="H40">
        <v>-1084</v>
      </c>
      <c r="I40">
        <v>322</v>
      </c>
      <c r="J40">
        <v>2854</v>
      </c>
      <c r="K40">
        <f t="shared" si="0"/>
        <v>1</v>
      </c>
    </row>
    <row r="41" spans="1:11" x14ac:dyDescent="0.8">
      <c r="A41" s="10">
        <v>45830</v>
      </c>
      <c r="B41" t="s">
        <v>43</v>
      </c>
      <c r="C41" t="s">
        <v>44</v>
      </c>
      <c r="D41" t="s">
        <v>111</v>
      </c>
      <c r="E41" t="s">
        <v>55</v>
      </c>
      <c r="F41">
        <v>3616</v>
      </c>
      <c r="G41">
        <v>0</v>
      </c>
      <c r="H41">
        <v>-1084</v>
      </c>
      <c r="I41">
        <v>322</v>
      </c>
      <c r="J41">
        <v>2854</v>
      </c>
      <c r="K41">
        <f t="shared" si="0"/>
        <v>1</v>
      </c>
    </row>
    <row r="42" spans="1:11" x14ac:dyDescent="0.8">
      <c r="A42" s="10">
        <v>45830</v>
      </c>
      <c r="B42" t="s">
        <v>43</v>
      </c>
      <c r="C42" t="s">
        <v>44</v>
      </c>
      <c r="D42" t="s">
        <v>112</v>
      </c>
      <c r="E42" t="s">
        <v>55</v>
      </c>
      <c r="F42">
        <v>3616</v>
      </c>
      <c r="G42">
        <v>0</v>
      </c>
      <c r="H42">
        <v>-1084</v>
      </c>
      <c r="I42">
        <v>322</v>
      </c>
      <c r="J42">
        <v>2854</v>
      </c>
      <c r="K42">
        <f t="shared" si="0"/>
        <v>1</v>
      </c>
    </row>
    <row r="43" spans="1:11" x14ac:dyDescent="0.8">
      <c r="A43" s="10">
        <v>45830</v>
      </c>
      <c r="B43" t="s">
        <v>43</v>
      </c>
      <c r="C43" t="s">
        <v>44</v>
      </c>
      <c r="D43" t="s">
        <v>113</v>
      </c>
      <c r="E43" t="s">
        <v>55</v>
      </c>
      <c r="F43">
        <v>3616</v>
      </c>
      <c r="G43">
        <v>0</v>
      </c>
      <c r="H43">
        <v>-1438</v>
      </c>
      <c r="I43">
        <v>676</v>
      </c>
      <c r="J43">
        <v>2854</v>
      </c>
      <c r="K43">
        <f t="shared" si="0"/>
        <v>1</v>
      </c>
    </row>
    <row r="44" spans="1:11" x14ac:dyDescent="0.8">
      <c r="A44" s="10">
        <v>45830</v>
      </c>
      <c r="B44" t="s">
        <v>43</v>
      </c>
      <c r="C44" t="s">
        <v>44</v>
      </c>
      <c r="D44" t="s">
        <v>114</v>
      </c>
      <c r="E44" t="s">
        <v>55</v>
      </c>
      <c r="F44">
        <v>7232</v>
      </c>
      <c r="G44">
        <v>0</v>
      </c>
      <c r="H44">
        <v>-2876</v>
      </c>
      <c r="I44">
        <v>1352</v>
      </c>
      <c r="J44">
        <v>5708</v>
      </c>
      <c r="K44">
        <f t="shared" si="0"/>
        <v>2</v>
      </c>
    </row>
    <row r="45" spans="1:11" x14ac:dyDescent="0.8">
      <c r="A45" s="10">
        <v>45830</v>
      </c>
      <c r="B45" t="s">
        <v>43</v>
      </c>
      <c r="C45" t="s">
        <v>44</v>
      </c>
      <c r="D45" t="s">
        <v>115</v>
      </c>
      <c r="E45" t="s">
        <v>55</v>
      </c>
      <c r="F45">
        <v>3616</v>
      </c>
      <c r="G45">
        <v>0</v>
      </c>
      <c r="H45">
        <v>-1084</v>
      </c>
      <c r="I45">
        <v>322</v>
      </c>
      <c r="J45">
        <v>2854</v>
      </c>
      <c r="K45">
        <f t="shared" si="0"/>
        <v>1</v>
      </c>
    </row>
    <row r="46" spans="1:11" x14ac:dyDescent="0.8">
      <c r="A46" s="10">
        <v>45830</v>
      </c>
      <c r="B46" t="s">
        <v>43</v>
      </c>
      <c r="C46" t="s">
        <v>66</v>
      </c>
      <c r="D46" t="s">
        <v>65</v>
      </c>
      <c r="E46" t="s">
        <v>55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0"/>
        <v>0</v>
      </c>
    </row>
    <row r="47" spans="1:11" x14ac:dyDescent="0.8">
      <c r="A47" s="10">
        <v>45830</v>
      </c>
      <c r="B47" t="s">
        <v>43</v>
      </c>
      <c r="C47" t="s">
        <v>44</v>
      </c>
      <c r="D47" t="s">
        <v>116</v>
      </c>
      <c r="E47" t="s">
        <v>55</v>
      </c>
      <c r="F47">
        <v>3616</v>
      </c>
      <c r="G47">
        <v>0</v>
      </c>
      <c r="H47">
        <v>-1084</v>
      </c>
      <c r="I47">
        <v>322</v>
      </c>
      <c r="J47">
        <v>2854</v>
      </c>
      <c r="K47">
        <f t="shared" si="0"/>
        <v>1</v>
      </c>
    </row>
    <row r="48" spans="1:11" x14ac:dyDescent="0.8">
      <c r="A48" s="10">
        <v>45830</v>
      </c>
      <c r="B48" t="s">
        <v>43</v>
      </c>
      <c r="C48" t="s">
        <v>44</v>
      </c>
      <c r="D48" t="s">
        <v>117</v>
      </c>
      <c r="E48" t="s">
        <v>55</v>
      </c>
      <c r="F48">
        <v>3616</v>
      </c>
      <c r="G48">
        <v>0</v>
      </c>
      <c r="H48">
        <v>-1084</v>
      </c>
      <c r="I48">
        <v>322</v>
      </c>
      <c r="J48">
        <v>2854</v>
      </c>
      <c r="K48">
        <f t="shared" si="0"/>
        <v>1</v>
      </c>
    </row>
    <row r="49" spans="1:11" x14ac:dyDescent="0.8">
      <c r="A49" s="10">
        <v>45830</v>
      </c>
      <c r="B49" t="s">
        <v>43</v>
      </c>
      <c r="C49" t="s">
        <v>44</v>
      </c>
      <c r="D49" t="s">
        <v>118</v>
      </c>
      <c r="E49" t="s">
        <v>55</v>
      </c>
      <c r="F49">
        <v>3616</v>
      </c>
      <c r="G49">
        <v>0</v>
      </c>
      <c r="H49">
        <v>-486</v>
      </c>
      <c r="I49">
        <v>322</v>
      </c>
      <c r="J49">
        <v>3452</v>
      </c>
      <c r="K49">
        <f t="shared" si="0"/>
        <v>1</v>
      </c>
    </row>
    <row r="50" spans="1:11" x14ac:dyDescent="0.8">
      <c r="A50" s="10">
        <v>45830</v>
      </c>
      <c r="B50" t="s">
        <v>43</v>
      </c>
      <c r="C50" t="s">
        <v>44</v>
      </c>
      <c r="D50" t="s">
        <v>119</v>
      </c>
      <c r="E50" t="s">
        <v>55</v>
      </c>
      <c r="F50">
        <v>3616</v>
      </c>
      <c r="G50">
        <v>0</v>
      </c>
      <c r="H50">
        <v>-1084</v>
      </c>
      <c r="I50">
        <v>322</v>
      </c>
      <c r="J50">
        <v>2854</v>
      </c>
      <c r="K50">
        <f t="shared" si="0"/>
        <v>1</v>
      </c>
    </row>
    <row r="51" spans="1:11" x14ac:dyDescent="0.8">
      <c r="A51" s="10">
        <v>45830</v>
      </c>
      <c r="B51" t="s">
        <v>43</v>
      </c>
      <c r="C51" t="s">
        <v>44</v>
      </c>
      <c r="D51" t="s">
        <v>120</v>
      </c>
      <c r="E51" t="s">
        <v>55</v>
      </c>
      <c r="F51">
        <v>3616</v>
      </c>
      <c r="G51">
        <v>0</v>
      </c>
      <c r="H51">
        <v>-1084</v>
      </c>
      <c r="I51">
        <v>322</v>
      </c>
      <c r="J51">
        <v>2854</v>
      </c>
      <c r="K51">
        <f t="shared" si="0"/>
        <v>1</v>
      </c>
    </row>
    <row r="52" spans="1:11" x14ac:dyDescent="0.8">
      <c r="A52" s="10">
        <v>45829</v>
      </c>
      <c r="B52" t="s">
        <v>43</v>
      </c>
      <c r="C52" t="s">
        <v>44</v>
      </c>
      <c r="D52" t="s">
        <v>121</v>
      </c>
      <c r="E52" t="s">
        <v>55</v>
      </c>
      <c r="F52">
        <v>3616</v>
      </c>
      <c r="G52">
        <v>0</v>
      </c>
      <c r="H52">
        <v>-1084</v>
      </c>
      <c r="I52">
        <v>322</v>
      </c>
      <c r="J52">
        <v>2854</v>
      </c>
      <c r="K52">
        <f t="shared" si="0"/>
        <v>1</v>
      </c>
    </row>
    <row r="53" spans="1:11" x14ac:dyDescent="0.8">
      <c r="A53" s="10">
        <v>45829</v>
      </c>
      <c r="B53" t="s">
        <v>43</v>
      </c>
      <c r="C53" t="s">
        <v>44</v>
      </c>
      <c r="D53" t="s">
        <v>122</v>
      </c>
      <c r="E53" t="s">
        <v>55</v>
      </c>
      <c r="F53">
        <v>3616</v>
      </c>
      <c r="G53">
        <v>0</v>
      </c>
      <c r="H53">
        <v>-1084</v>
      </c>
      <c r="I53">
        <v>322</v>
      </c>
      <c r="J53">
        <v>2854</v>
      </c>
      <c r="K53">
        <f t="shared" si="0"/>
        <v>1</v>
      </c>
    </row>
    <row r="54" spans="1:11" x14ac:dyDescent="0.8">
      <c r="A54" s="10">
        <v>45829</v>
      </c>
      <c r="B54" t="s">
        <v>43</v>
      </c>
      <c r="C54" t="s">
        <v>44</v>
      </c>
      <c r="D54" t="s">
        <v>123</v>
      </c>
      <c r="E54" t="s">
        <v>55</v>
      </c>
      <c r="F54">
        <v>3616</v>
      </c>
      <c r="G54">
        <v>0</v>
      </c>
      <c r="H54">
        <v>-1084</v>
      </c>
      <c r="I54">
        <v>322</v>
      </c>
      <c r="J54">
        <v>2854</v>
      </c>
      <c r="K54">
        <f t="shared" si="0"/>
        <v>1</v>
      </c>
    </row>
    <row r="55" spans="1:11" x14ac:dyDescent="0.8">
      <c r="A55" s="10">
        <v>45829</v>
      </c>
      <c r="B55" t="s">
        <v>43</v>
      </c>
      <c r="C55" t="s">
        <v>44</v>
      </c>
      <c r="D55" t="s">
        <v>124</v>
      </c>
      <c r="E55" t="s">
        <v>55</v>
      </c>
      <c r="F55">
        <v>3616</v>
      </c>
      <c r="G55">
        <v>0</v>
      </c>
      <c r="H55">
        <v>-1084</v>
      </c>
      <c r="I55">
        <v>322</v>
      </c>
      <c r="J55">
        <v>2854</v>
      </c>
      <c r="K55">
        <f t="shared" si="0"/>
        <v>1</v>
      </c>
    </row>
    <row r="56" spans="1:11" x14ac:dyDescent="0.8">
      <c r="A56" s="10">
        <v>45829</v>
      </c>
      <c r="B56" t="s">
        <v>43</v>
      </c>
      <c r="C56" t="s">
        <v>44</v>
      </c>
      <c r="D56" t="s">
        <v>125</v>
      </c>
      <c r="E56" t="s">
        <v>55</v>
      </c>
      <c r="F56">
        <v>3616</v>
      </c>
      <c r="G56">
        <v>0</v>
      </c>
      <c r="H56">
        <v>-1084</v>
      </c>
      <c r="I56">
        <v>322</v>
      </c>
      <c r="J56">
        <v>2854</v>
      </c>
      <c r="K56">
        <f t="shared" si="0"/>
        <v>1</v>
      </c>
    </row>
    <row r="57" spans="1:11" x14ac:dyDescent="0.8">
      <c r="A57" s="10">
        <v>45829</v>
      </c>
      <c r="B57" t="s">
        <v>43</v>
      </c>
      <c r="C57" t="s">
        <v>44</v>
      </c>
      <c r="D57" t="s">
        <v>126</v>
      </c>
      <c r="E57" t="s">
        <v>55</v>
      </c>
      <c r="F57">
        <v>3616</v>
      </c>
      <c r="G57">
        <v>0</v>
      </c>
      <c r="H57">
        <v>-434</v>
      </c>
      <c r="I57">
        <v>322</v>
      </c>
      <c r="J57">
        <v>3504</v>
      </c>
      <c r="K57">
        <f t="shared" si="0"/>
        <v>1</v>
      </c>
    </row>
    <row r="58" spans="1:11" x14ac:dyDescent="0.8">
      <c r="A58" s="10">
        <v>45829</v>
      </c>
      <c r="B58" t="s">
        <v>43</v>
      </c>
      <c r="C58" t="s">
        <v>44</v>
      </c>
      <c r="D58" t="s">
        <v>127</v>
      </c>
      <c r="E58" t="s">
        <v>55</v>
      </c>
      <c r="F58">
        <v>3616</v>
      </c>
      <c r="G58">
        <v>0</v>
      </c>
      <c r="H58">
        <v>-434</v>
      </c>
      <c r="I58">
        <v>322</v>
      </c>
      <c r="J58">
        <v>3504</v>
      </c>
      <c r="K58">
        <f t="shared" si="0"/>
        <v>1</v>
      </c>
    </row>
    <row r="59" spans="1:11" x14ac:dyDescent="0.8">
      <c r="A59" s="10">
        <v>45829</v>
      </c>
      <c r="B59" t="s">
        <v>43</v>
      </c>
      <c r="C59" t="s">
        <v>44</v>
      </c>
      <c r="D59" t="s">
        <v>128</v>
      </c>
      <c r="E59" t="s">
        <v>55</v>
      </c>
      <c r="F59">
        <v>3616</v>
      </c>
      <c r="G59">
        <v>0</v>
      </c>
      <c r="H59">
        <v>-434</v>
      </c>
      <c r="I59">
        <v>322</v>
      </c>
      <c r="J59">
        <v>3504</v>
      </c>
      <c r="K59">
        <f t="shared" si="0"/>
        <v>1</v>
      </c>
    </row>
    <row r="60" spans="1:11" x14ac:dyDescent="0.8">
      <c r="A60" s="10">
        <v>45829</v>
      </c>
      <c r="B60" t="s">
        <v>43</v>
      </c>
      <c r="C60" t="s">
        <v>44</v>
      </c>
      <c r="D60" t="s">
        <v>129</v>
      </c>
      <c r="E60" t="s">
        <v>55</v>
      </c>
      <c r="F60">
        <v>3616</v>
      </c>
      <c r="G60">
        <v>0</v>
      </c>
      <c r="H60">
        <v>-434</v>
      </c>
      <c r="I60">
        <v>322</v>
      </c>
      <c r="J60">
        <v>3504</v>
      </c>
      <c r="K60">
        <f t="shared" si="0"/>
        <v>1</v>
      </c>
    </row>
    <row r="61" spans="1:11" x14ac:dyDescent="0.8">
      <c r="A61" s="10">
        <v>45829</v>
      </c>
      <c r="B61" t="s">
        <v>43</v>
      </c>
      <c r="C61" t="s">
        <v>44</v>
      </c>
      <c r="D61" t="s">
        <v>130</v>
      </c>
      <c r="E61" t="s">
        <v>55</v>
      </c>
      <c r="F61">
        <v>3616</v>
      </c>
      <c r="G61">
        <v>0</v>
      </c>
      <c r="H61">
        <v>-434</v>
      </c>
      <c r="I61">
        <v>322</v>
      </c>
      <c r="J61">
        <v>3504</v>
      </c>
      <c r="K61">
        <f t="shared" si="0"/>
        <v>1</v>
      </c>
    </row>
    <row r="62" spans="1:11" x14ac:dyDescent="0.8">
      <c r="A62" s="10">
        <v>45828</v>
      </c>
      <c r="B62" t="s">
        <v>43</v>
      </c>
      <c r="C62" t="s">
        <v>44</v>
      </c>
      <c r="D62" t="s">
        <v>131</v>
      </c>
      <c r="E62" t="s">
        <v>55</v>
      </c>
      <c r="F62">
        <v>3616</v>
      </c>
      <c r="G62">
        <v>0</v>
      </c>
      <c r="H62">
        <v>-434</v>
      </c>
      <c r="I62">
        <v>322</v>
      </c>
      <c r="J62">
        <v>3504</v>
      </c>
      <c r="K62">
        <f t="shared" si="0"/>
        <v>1</v>
      </c>
    </row>
    <row r="63" spans="1:11" x14ac:dyDescent="0.8">
      <c r="A63" s="10">
        <v>45828</v>
      </c>
      <c r="B63" t="s">
        <v>43</v>
      </c>
      <c r="C63" t="s">
        <v>44</v>
      </c>
      <c r="D63" t="s">
        <v>132</v>
      </c>
      <c r="E63" t="s">
        <v>55</v>
      </c>
      <c r="F63">
        <v>3616</v>
      </c>
      <c r="G63">
        <v>0</v>
      </c>
      <c r="H63">
        <v>-434</v>
      </c>
      <c r="I63">
        <v>322</v>
      </c>
      <c r="J63">
        <v>3504</v>
      </c>
      <c r="K63">
        <f t="shared" si="0"/>
        <v>1</v>
      </c>
    </row>
    <row r="64" spans="1:11" x14ac:dyDescent="0.8">
      <c r="A64" s="10">
        <v>45828</v>
      </c>
      <c r="B64" t="s">
        <v>43</v>
      </c>
      <c r="C64" t="s">
        <v>44</v>
      </c>
      <c r="D64" t="s">
        <v>133</v>
      </c>
      <c r="E64" t="s">
        <v>55</v>
      </c>
      <c r="F64">
        <v>7233</v>
      </c>
      <c r="G64">
        <v>-279</v>
      </c>
      <c r="H64">
        <v>-868</v>
      </c>
      <c r="I64">
        <v>922</v>
      </c>
      <c r="J64">
        <v>7008</v>
      </c>
      <c r="K64">
        <f t="shared" si="0"/>
        <v>2</v>
      </c>
    </row>
    <row r="65" spans="1:11" x14ac:dyDescent="0.8">
      <c r="A65" s="10">
        <v>45827</v>
      </c>
      <c r="B65" t="s">
        <v>43</v>
      </c>
      <c r="C65" t="s">
        <v>44</v>
      </c>
      <c r="D65" t="s">
        <v>134</v>
      </c>
      <c r="E65" t="s">
        <v>55</v>
      </c>
      <c r="F65">
        <v>3616</v>
      </c>
      <c r="G65">
        <v>0</v>
      </c>
      <c r="H65">
        <v>-434</v>
      </c>
      <c r="I65">
        <v>322</v>
      </c>
      <c r="J65">
        <v>3504</v>
      </c>
      <c r="K65">
        <f t="shared" si="0"/>
        <v>1</v>
      </c>
    </row>
    <row r="66" spans="1:11" x14ac:dyDescent="0.8">
      <c r="A66" s="10">
        <v>45827</v>
      </c>
      <c r="B66" t="s">
        <v>43</v>
      </c>
      <c r="C66" t="s">
        <v>44</v>
      </c>
      <c r="D66" t="s">
        <v>135</v>
      </c>
      <c r="E66" t="s">
        <v>55</v>
      </c>
      <c r="F66">
        <v>7232</v>
      </c>
      <c r="G66">
        <v>-1018</v>
      </c>
      <c r="H66">
        <v>-868</v>
      </c>
      <c r="I66">
        <v>938</v>
      </c>
      <c r="J66">
        <v>6284</v>
      </c>
      <c r="K66">
        <f t="shared" si="0"/>
        <v>2</v>
      </c>
    </row>
    <row r="67" spans="1:11" x14ac:dyDescent="0.8">
      <c r="A67" s="10">
        <v>45826</v>
      </c>
      <c r="B67" t="s">
        <v>43</v>
      </c>
      <c r="C67" t="s">
        <v>44</v>
      </c>
      <c r="D67" t="s">
        <v>136</v>
      </c>
      <c r="E67" t="s">
        <v>55</v>
      </c>
      <c r="F67">
        <v>3616</v>
      </c>
      <c r="G67">
        <v>0</v>
      </c>
      <c r="H67">
        <v>-434</v>
      </c>
      <c r="I67">
        <v>322</v>
      </c>
      <c r="J67">
        <v>3504</v>
      </c>
      <c r="K67">
        <f t="shared" si="0"/>
        <v>1</v>
      </c>
    </row>
    <row r="68" spans="1:11" x14ac:dyDescent="0.8">
      <c r="A68" s="10">
        <v>45824</v>
      </c>
      <c r="B68" t="s">
        <v>43</v>
      </c>
      <c r="C68" t="s">
        <v>44</v>
      </c>
      <c r="D68" t="s">
        <v>137</v>
      </c>
      <c r="E68" t="s">
        <v>55</v>
      </c>
      <c r="F68">
        <v>14465</v>
      </c>
      <c r="G68">
        <v>0</v>
      </c>
      <c r="H68">
        <v>-1736</v>
      </c>
      <c r="I68">
        <v>1287</v>
      </c>
      <c r="J68">
        <v>14016</v>
      </c>
      <c r="K68">
        <f t="shared" ref="K68:K86" si="1">ROUND(F68/3616,0)</f>
        <v>4</v>
      </c>
    </row>
    <row r="69" spans="1:11" x14ac:dyDescent="0.8">
      <c r="A69" s="10">
        <v>45823</v>
      </c>
      <c r="B69" t="s">
        <v>43</v>
      </c>
      <c r="C69" t="s">
        <v>56</v>
      </c>
      <c r="D69" t="s">
        <v>57</v>
      </c>
      <c r="E69" t="s">
        <v>58</v>
      </c>
      <c r="F69">
        <v>0</v>
      </c>
      <c r="G69">
        <v>0</v>
      </c>
      <c r="H69">
        <v>-39129</v>
      </c>
      <c r="I69">
        <v>0</v>
      </c>
      <c r="J69">
        <v>-39129</v>
      </c>
      <c r="K69">
        <f t="shared" si="1"/>
        <v>0</v>
      </c>
    </row>
    <row r="70" spans="1:11" x14ac:dyDescent="0.8">
      <c r="A70" s="10">
        <v>45823</v>
      </c>
      <c r="B70" t="s">
        <v>43</v>
      </c>
      <c r="C70" t="s">
        <v>44</v>
      </c>
      <c r="D70" t="s">
        <v>138</v>
      </c>
      <c r="E70" t="s">
        <v>55</v>
      </c>
      <c r="F70">
        <v>3617</v>
      </c>
      <c r="G70">
        <v>-418</v>
      </c>
      <c r="H70">
        <v>-434</v>
      </c>
      <c r="I70">
        <v>739</v>
      </c>
      <c r="J70">
        <v>3504</v>
      </c>
      <c r="K70">
        <f t="shared" si="1"/>
        <v>1</v>
      </c>
    </row>
    <row r="71" spans="1:11" x14ac:dyDescent="0.8">
      <c r="A71" s="10">
        <v>45823</v>
      </c>
      <c r="B71" t="s">
        <v>43</v>
      </c>
      <c r="C71" t="s">
        <v>44</v>
      </c>
      <c r="D71" t="s">
        <v>139</v>
      </c>
      <c r="E71" t="s">
        <v>55</v>
      </c>
      <c r="F71">
        <v>3616</v>
      </c>
      <c r="G71">
        <v>0</v>
      </c>
      <c r="H71">
        <v>-434</v>
      </c>
      <c r="I71">
        <v>322</v>
      </c>
      <c r="J71">
        <v>3504</v>
      </c>
      <c r="K71">
        <f t="shared" si="1"/>
        <v>1</v>
      </c>
    </row>
    <row r="72" spans="1:11" x14ac:dyDescent="0.8">
      <c r="A72" s="10">
        <v>45821</v>
      </c>
      <c r="B72" t="s">
        <v>43</v>
      </c>
      <c r="C72" t="s">
        <v>44</v>
      </c>
      <c r="D72" t="s">
        <v>140</v>
      </c>
      <c r="E72" t="s">
        <v>55</v>
      </c>
      <c r="F72">
        <v>3616</v>
      </c>
      <c r="G72">
        <v>0</v>
      </c>
      <c r="H72">
        <v>-434</v>
      </c>
      <c r="I72">
        <v>322</v>
      </c>
      <c r="J72">
        <v>3504</v>
      </c>
      <c r="K72">
        <f t="shared" si="1"/>
        <v>1</v>
      </c>
    </row>
    <row r="73" spans="1:11" x14ac:dyDescent="0.8">
      <c r="A73" s="10">
        <v>45821</v>
      </c>
      <c r="B73" t="s">
        <v>43</v>
      </c>
      <c r="C73" t="s">
        <v>44</v>
      </c>
      <c r="D73" t="s">
        <v>141</v>
      </c>
      <c r="E73" t="s">
        <v>55</v>
      </c>
      <c r="F73">
        <v>3616</v>
      </c>
      <c r="G73">
        <v>0</v>
      </c>
      <c r="H73">
        <v>-434</v>
      </c>
      <c r="I73">
        <v>322</v>
      </c>
      <c r="J73">
        <v>3504</v>
      </c>
      <c r="K73">
        <f t="shared" si="1"/>
        <v>1</v>
      </c>
    </row>
    <row r="74" spans="1:11" x14ac:dyDescent="0.8">
      <c r="A74" s="10">
        <v>45820</v>
      </c>
      <c r="B74" t="s">
        <v>43</v>
      </c>
      <c r="C74" t="s">
        <v>44</v>
      </c>
      <c r="D74" t="s">
        <v>142</v>
      </c>
      <c r="E74" t="s">
        <v>55</v>
      </c>
      <c r="F74">
        <v>3616</v>
      </c>
      <c r="G74">
        <v>0</v>
      </c>
      <c r="H74">
        <v>-434</v>
      </c>
      <c r="I74">
        <v>322</v>
      </c>
      <c r="J74">
        <v>3504</v>
      </c>
      <c r="K74">
        <f t="shared" si="1"/>
        <v>1</v>
      </c>
    </row>
    <row r="75" spans="1:11" x14ac:dyDescent="0.8">
      <c r="A75" s="10">
        <v>45820</v>
      </c>
      <c r="B75" t="s">
        <v>43</v>
      </c>
      <c r="C75" t="s">
        <v>44</v>
      </c>
      <c r="D75" t="s">
        <v>143</v>
      </c>
      <c r="E75" t="s">
        <v>55</v>
      </c>
      <c r="F75">
        <v>3616</v>
      </c>
      <c r="G75">
        <v>0</v>
      </c>
      <c r="H75">
        <v>-434</v>
      </c>
      <c r="I75">
        <v>322</v>
      </c>
      <c r="J75">
        <v>3504</v>
      </c>
      <c r="K75">
        <f t="shared" si="1"/>
        <v>1</v>
      </c>
    </row>
    <row r="76" spans="1:11" x14ac:dyDescent="0.8">
      <c r="A76" s="10">
        <v>45819</v>
      </c>
      <c r="B76" t="s">
        <v>43</v>
      </c>
      <c r="C76" t="s">
        <v>44</v>
      </c>
      <c r="D76" t="s">
        <v>144</v>
      </c>
      <c r="E76" t="s">
        <v>55</v>
      </c>
      <c r="F76">
        <v>3616</v>
      </c>
      <c r="G76">
        <v>0</v>
      </c>
      <c r="H76">
        <v>-434</v>
      </c>
      <c r="I76">
        <v>322</v>
      </c>
      <c r="J76">
        <v>3504</v>
      </c>
      <c r="K76">
        <f t="shared" si="1"/>
        <v>1</v>
      </c>
    </row>
    <row r="77" spans="1:11" x14ac:dyDescent="0.8">
      <c r="A77" s="10">
        <v>45819</v>
      </c>
      <c r="B77" t="s">
        <v>43</v>
      </c>
      <c r="C77" t="s">
        <v>44</v>
      </c>
      <c r="D77" t="s">
        <v>64</v>
      </c>
      <c r="E77" t="s">
        <v>55</v>
      </c>
      <c r="F77">
        <v>8510</v>
      </c>
      <c r="G77">
        <v>-1018</v>
      </c>
      <c r="H77">
        <v>-2256</v>
      </c>
      <c r="I77">
        <v>924</v>
      </c>
      <c r="J77">
        <v>6160</v>
      </c>
      <c r="K77">
        <f t="shared" si="1"/>
        <v>2</v>
      </c>
    </row>
    <row r="78" spans="1:11" x14ac:dyDescent="0.8">
      <c r="A78" s="10">
        <v>45819</v>
      </c>
      <c r="B78" t="s">
        <v>43</v>
      </c>
      <c r="C78" t="s">
        <v>44</v>
      </c>
      <c r="D78" t="s">
        <v>65</v>
      </c>
      <c r="E78" t="s">
        <v>55</v>
      </c>
      <c r="F78">
        <v>12765</v>
      </c>
      <c r="G78">
        <v>-1863</v>
      </c>
      <c r="H78">
        <v>-2690</v>
      </c>
      <c r="I78">
        <v>1722</v>
      </c>
      <c r="J78">
        <v>9934</v>
      </c>
      <c r="K78">
        <f t="shared" si="1"/>
        <v>4</v>
      </c>
    </row>
    <row r="79" spans="1:11" x14ac:dyDescent="0.8">
      <c r="A79" s="10">
        <v>45819</v>
      </c>
      <c r="B79" t="s">
        <v>43</v>
      </c>
      <c r="C79" t="s">
        <v>44</v>
      </c>
      <c r="D79" t="s">
        <v>145</v>
      </c>
      <c r="E79" t="s">
        <v>55</v>
      </c>
      <c r="F79">
        <v>3616</v>
      </c>
      <c r="G79">
        <v>0</v>
      </c>
      <c r="H79">
        <v>-434</v>
      </c>
      <c r="I79">
        <v>322</v>
      </c>
      <c r="J79">
        <v>3504</v>
      </c>
      <c r="K79">
        <f t="shared" si="1"/>
        <v>1</v>
      </c>
    </row>
    <row r="80" spans="1:11" x14ac:dyDescent="0.8">
      <c r="A80" s="10">
        <v>45817</v>
      </c>
      <c r="B80" t="s">
        <v>43</v>
      </c>
      <c r="C80" t="s">
        <v>56</v>
      </c>
      <c r="D80" t="s">
        <v>57</v>
      </c>
      <c r="E80" t="s">
        <v>59</v>
      </c>
      <c r="F80">
        <v>0</v>
      </c>
      <c r="G80">
        <v>0</v>
      </c>
      <c r="H80">
        <v>-5390</v>
      </c>
      <c r="I80">
        <v>0</v>
      </c>
      <c r="J80">
        <v>-5390</v>
      </c>
      <c r="K80">
        <f t="shared" si="1"/>
        <v>0</v>
      </c>
    </row>
    <row r="81" spans="1:11" x14ac:dyDescent="0.8">
      <c r="A81" s="10">
        <v>45816</v>
      </c>
      <c r="B81" t="s">
        <v>43</v>
      </c>
      <c r="C81" t="s">
        <v>44</v>
      </c>
      <c r="D81" t="s">
        <v>146</v>
      </c>
      <c r="E81" t="s">
        <v>55</v>
      </c>
      <c r="F81">
        <v>4255</v>
      </c>
      <c r="G81">
        <v>0</v>
      </c>
      <c r="H81">
        <v>-1199</v>
      </c>
      <c r="I81">
        <v>378</v>
      </c>
      <c r="J81">
        <v>3434</v>
      </c>
      <c r="K81">
        <f t="shared" si="1"/>
        <v>1</v>
      </c>
    </row>
    <row r="82" spans="1:11" x14ac:dyDescent="0.8">
      <c r="A82" s="10">
        <v>45815</v>
      </c>
      <c r="B82" t="s">
        <v>43</v>
      </c>
      <c r="C82" t="s">
        <v>56</v>
      </c>
      <c r="D82" t="s">
        <v>57</v>
      </c>
      <c r="E82" t="s">
        <v>147</v>
      </c>
      <c r="F82">
        <v>0</v>
      </c>
      <c r="G82">
        <v>0</v>
      </c>
      <c r="H82">
        <v>0</v>
      </c>
      <c r="I82">
        <v>-104</v>
      </c>
      <c r="J82">
        <v>-104</v>
      </c>
      <c r="K82">
        <f t="shared" si="1"/>
        <v>0</v>
      </c>
    </row>
    <row r="83" spans="1:11" x14ac:dyDescent="0.8">
      <c r="A83" s="10">
        <v>45812</v>
      </c>
      <c r="B83" t="s">
        <v>43</v>
      </c>
      <c r="C83" t="s">
        <v>44</v>
      </c>
      <c r="D83" t="s">
        <v>148</v>
      </c>
      <c r="E83" t="s">
        <v>55</v>
      </c>
      <c r="F83">
        <v>4255</v>
      </c>
      <c r="G83">
        <v>0</v>
      </c>
      <c r="H83">
        <v>-1743</v>
      </c>
      <c r="I83">
        <v>1262</v>
      </c>
      <c r="J83">
        <v>3774</v>
      </c>
      <c r="K83">
        <f t="shared" si="1"/>
        <v>1</v>
      </c>
    </row>
    <row r="84" spans="1:11" x14ac:dyDescent="0.8">
      <c r="A84" s="10">
        <v>45811</v>
      </c>
      <c r="B84" t="s">
        <v>43</v>
      </c>
      <c r="C84" t="s">
        <v>44</v>
      </c>
      <c r="D84" t="s">
        <v>149</v>
      </c>
      <c r="E84" t="s">
        <v>55</v>
      </c>
      <c r="F84">
        <v>4255</v>
      </c>
      <c r="G84">
        <v>-621</v>
      </c>
      <c r="H84">
        <v>-1128</v>
      </c>
      <c r="I84">
        <v>574</v>
      </c>
      <c r="J84">
        <v>3080</v>
      </c>
      <c r="K84">
        <f t="shared" si="1"/>
        <v>1</v>
      </c>
    </row>
    <row r="85" spans="1:11" x14ac:dyDescent="0.8">
      <c r="A85" s="10">
        <v>45811</v>
      </c>
      <c r="B85" t="s">
        <v>43</v>
      </c>
      <c r="C85" t="s">
        <v>44</v>
      </c>
      <c r="D85" t="s">
        <v>150</v>
      </c>
      <c r="E85" t="s">
        <v>55</v>
      </c>
      <c r="F85">
        <v>8510</v>
      </c>
      <c r="G85">
        <v>-1212</v>
      </c>
      <c r="H85">
        <v>-2256</v>
      </c>
      <c r="I85">
        <v>1118</v>
      </c>
      <c r="J85">
        <v>6160</v>
      </c>
      <c r="K85">
        <f t="shared" si="1"/>
        <v>2</v>
      </c>
    </row>
    <row r="86" spans="1:11" x14ac:dyDescent="0.8">
      <c r="A86" s="10">
        <v>45810</v>
      </c>
      <c r="B86" t="s">
        <v>43</v>
      </c>
      <c r="C86" t="s">
        <v>56</v>
      </c>
      <c r="D86" t="s">
        <v>57</v>
      </c>
      <c r="E86" t="s">
        <v>58</v>
      </c>
      <c r="F86">
        <v>0</v>
      </c>
      <c r="G86">
        <v>0</v>
      </c>
      <c r="H86">
        <v>-5463</v>
      </c>
      <c r="I86">
        <v>0</v>
      </c>
      <c r="J86">
        <v>-5463</v>
      </c>
      <c r="K86">
        <f t="shared" si="1"/>
        <v>0</v>
      </c>
    </row>
    <row r="87" spans="1:11" x14ac:dyDescent="0.8">
      <c r="F87">
        <f t="shared" ref="F87:K87" si="2">SUM(F2:F86)</f>
        <v>360770</v>
      </c>
      <c r="G87">
        <f t="shared" si="2"/>
        <v>-8075</v>
      </c>
      <c r="H87">
        <f t="shared" si="2"/>
        <v>-146527</v>
      </c>
      <c r="I87">
        <f t="shared" si="2"/>
        <v>37881</v>
      </c>
      <c r="J87">
        <f t="shared" si="2"/>
        <v>244049</v>
      </c>
      <c r="K87">
        <f t="shared" si="2"/>
        <v>99</v>
      </c>
    </row>
    <row r="88" spans="1:11" x14ac:dyDescent="0.8">
      <c r="H88">
        <v>91465</v>
      </c>
    </row>
    <row r="89" spans="1:11" x14ac:dyDescent="0.8">
      <c r="H89">
        <v>55062</v>
      </c>
    </row>
  </sheetData>
  <autoFilter ref="A1:K88" xr:uid="{B4D9AF07-50AC-7F44-B074-C4820E76FF34}"/>
  <sortState xmlns:xlrd2="http://schemas.microsoft.com/office/spreadsheetml/2017/richdata2" ref="A2:K49">
    <sortCondition ref="D2:D49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レヴェニューシェア資料</vt:lpstr>
      <vt:lpstr>Amazon詳細</vt:lpstr>
      <vt:lpstr>shopify手数料試算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2025-03-03T03:43:09Z</cp:lastPrinted>
  <dcterms:created xsi:type="dcterms:W3CDTF">2025-01-24T08:40:17Z</dcterms:created>
  <dcterms:modified xsi:type="dcterms:W3CDTF">2025-07-09T05:26:08Z</dcterms:modified>
</cp:coreProperties>
</file>