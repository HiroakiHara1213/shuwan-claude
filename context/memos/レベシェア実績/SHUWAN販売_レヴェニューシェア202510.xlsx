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6518c6b5c05abe/デスクトップ/レベシェア実績/"/>
    </mc:Choice>
  </mc:AlternateContent>
  <xr:revisionPtr revIDLastSave="0" documentId="8_{CCCC7181-3712-4759-960D-73E576A315B3}" xr6:coauthVersionLast="47" xr6:coauthVersionMax="47" xr10:uidLastSave="{00000000-0000-0000-0000-000000000000}"/>
  <bookViews>
    <workbookView xWindow="735" yWindow="735" windowWidth="16568" windowHeight="13402" xr2:uid="{9516FBB4-3A9B-6D45-85D3-EE0B367FE07A}"/>
  </bookViews>
  <sheets>
    <sheet name="レヴェニューシェア資料" sheetId="2" r:id="rId1"/>
    <sheet name="Amazon詳細" sheetId="5" r:id="rId2"/>
    <sheet name="留保中11月請求時確認" sheetId="6" r:id="rId3"/>
    <sheet name="shopify手数料試算" sheetId="3" r:id="rId4"/>
  </sheets>
  <definedNames>
    <definedName name="_xlnm._FilterDatabase" localSheetId="1" hidden="1">Amazon詳細!$A$1:$K$80</definedName>
    <definedName name="payment_transactions_export_1__2" localSheetId="3">shopify手数料試算!#REF!</definedName>
    <definedName name="_xlnm.Print_Area" localSheetId="0">レヴェニューシェア資料!$A$1:$E$54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2" l="1"/>
  <c r="D27" i="2"/>
  <c r="D20" i="2"/>
  <c r="H84" i="5"/>
  <c r="H79" i="5"/>
  <c r="H85" i="5" s="1"/>
  <c r="K79" i="5"/>
  <c r="J79" i="5"/>
  <c r="I79" i="5"/>
  <c r="G79" i="5"/>
  <c r="F79" i="5"/>
  <c r="K2" i="6"/>
  <c r="K3" i="6"/>
  <c r="K4" i="6"/>
  <c r="K5" i="6"/>
  <c r="K6" i="6"/>
  <c r="K7" i="6"/>
  <c r="K8" i="6"/>
  <c r="D38" i="2"/>
  <c r="D15" i="2"/>
  <c r="D13" i="2"/>
  <c r="D32" i="2" l="1"/>
  <c r="D31" i="2"/>
  <c r="D30" i="2"/>
  <c r="D33" i="2" l="1"/>
  <c r="B49" i="2" s="1"/>
  <c r="D16" i="2" l="1"/>
  <c r="D14" i="2"/>
  <c r="C17" i="2" l="1"/>
  <c r="C37" i="2" s="1"/>
  <c r="G6" i="2"/>
  <c r="H6" i="2" s="1"/>
  <c r="G5" i="2"/>
  <c r="H5" i="2" s="1"/>
  <c r="G4" i="2"/>
  <c r="H4" i="2" s="1"/>
  <c r="G3" i="2"/>
  <c r="H3" i="2" s="1"/>
  <c r="C7" i="2"/>
  <c r="C39" i="2" s="1"/>
  <c r="B6" i="2"/>
  <c r="D6" i="2" s="1"/>
  <c r="B5" i="2"/>
  <c r="D5" i="2" s="1"/>
  <c r="B4" i="2"/>
  <c r="D4" i="2" s="1"/>
  <c r="B3" i="2"/>
  <c r="D3" i="2" s="1"/>
  <c r="B10" i="2"/>
  <c r="C41" i="2" l="1"/>
  <c r="C40" i="2"/>
  <c r="D40" i="2" s="1"/>
  <c r="H7" i="2"/>
  <c r="D7" i="2"/>
  <c r="D42" i="2" s="1"/>
  <c r="B39" i="2" l="1"/>
  <c r="D12" i="2"/>
  <c r="B48" i="2" l="1"/>
  <c r="B22" i="2"/>
  <c r="D37" i="2" l="1"/>
  <c r="D11" i="2"/>
  <c r="D17" i="2" s="1"/>
  <c r="I17" i="3" l="1"/>
  <c r="M17" i="3" s="1"/>
  <c r="K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B41" i="2"/>
  <c r="D41" i="2" s="1"/>
  <c r="D43" i="2" s="1"/>
  <c r="B46" i="2" l="1"/>
  <c r="B47" i="2" l="1"/>
  <c r="B50" i="2" s="1"/>
  <c r="B51" i="2" l="1"/>
  <c r="B52" i="2" l="1"/>
</calcChain>
</file>

<file path=xl/sharedStrings.xml><?xml version="1.0" encoding="utf-8"?>
<sst xmlns="http://schemas.openxmlformats.org/spreadsheetml/2006/main" count="495" uniqueCount="178">
  <si>
    <t>限界利益</t>
    <rPh sb="0" eb="4">
      <t xml:space="preserve">ゲンカイリエキ </t>
    </rPh>
    <phoneticPr fontId="1"/>
  </si>
  <si>
    <t>シンクロ(60%)</t>
    <phoneticPr fontId="1"/>
  </si>
  <si>
    <t>項目</t>
    <rPh sb="0" eb="2">
      <t xml:space="preserve">コウモク </t>
    </rPh>
    <phoneticPr fontId="1"/>
  </si>
  <si>
    <t>数量</t>
    <rPh sb="0" eb="2">
      <t xml:space="preserve">スウリョウ </t>
    </rPh>
    <phoneticPr fontId="1"/>
  </si>
  <si>
    <t>変動費</t>
    <rPh sb="0" eb="3">
      <t xml:space="preserve">ヘンドウヒ </t>
    </rPh>
    <phoneticPr fontId="1"/>
  </si>
  <si>
    <t>単価</t>
    <rPh sb="0" eb="2">
      <t xml:space="preserve">タンカ </t>
    </rPh>
    <phoneticPr fontId="1"/>
  </si>
  <si>
    <t>箱</t>
    <rPh sb="0" eb="1">
      <t xml:space="preserve">ハコ </t>
    </rPh>
    <phoneticPr fontId="1"/>
  </si>
  <si>
    <t>作家ロイヤリティ</t>
    <rPh sb="0" eb="2">
      <t xml:space="preserve">サッカ </t>
    </rPh>
    <phoneticPr fontId="1"/>
  </si>
  <si>
    <t>金額</t>
    <rPh sb="0" eb="2">
      <t xml:space="preserve">キンガク </t>
    </rPh>
    <phoneticPr fontId="1"/>
  </si>
  <si>
    <t>SHUWAN原価</t>
    <rPh sb="0" eb="2">
      <t xml:space="preserve">ゲンカ </t>
    </rPh>
    <phoneticPr fontId="1"/>
  </si>
  <si>
    <t>対象売上金額合計</t>
    <rPh sb="0" eb="2">
      <t xml:space="preserve">タイショウ </t>
    </rPh>
    <rPh sb="2" eb="4">
      <t xml:space="preserve">ウリアゲ </t>
    </rPh>
    <rPh sb="4" eb="6">
      <t xml:space="preserve">キンガク </t>
    </rPh>
    <rPh sb="6" eb="8">
      <t xml:space="preserve">ゴウケイ </t>
    </rPh>
    <phoneticPr fontId="1"/>
  </si>
  <si>
    <t>変動費合計</t>
    <rPh sb="0" eb="3">
      <t xml:space="preserve">ヘンドウヒ </t>
    </rPh>
    <rPh sb="3" eb="5">
      <t xml:space="preserve">ゴウケイ </t>
    </rPh>
    <phoneticPr fontId="1"/>
  </si>
  <si>
    <t>住吉酒販(40%)</t>
    <rPh sb="0" eb="4">
      <t xml:space="preserve">スミヨシシュハン </t>
    </rPh>
    <phoneticPr fontId="1"/>
  </si>
  <si>
    <t>売上</t>
    <rPh sb="0" eb="2">
      <t xml:space="preserve">ウリアゲ </t>
    </rPh>
    <phoneticPr fontId="1"/>
  </si>
  <si>
    <t>小計</t>
    <rPh sb="0" eb="2">
      <t xml:space="preserve">ショウケイ </t>
    </rPh>
    <phoneticPr fontId="1"/>
  </si>
  <si>
    <t>＊金額は税抜</t>
    <rPh sb="4" eb="6">
      <t xml:space="preserve">ゼイヌキ </t>
    </rPh>
    <phoneticPr fontId="1"/>
  </si>
  <si>
    <t>合計</t>
    <rPh sb="0" eb="2">
      <t xml:space="preserve">ゴウケイ </t>
    </rPh>
    <phoneticPr fontId="1"/>
  </si>
  <si>
    <t>JPY</t>
  </si>
  <si>
    <t>paid</t>
  </si>
  <si>
    <t>手数料率</t>
    <rPh sb="0" eb="4">
      <t xml:space="preserve">テスウリョウリツ </t>
    </rPh>
    <phoneticPr fontId="1"/>
  </si>
  <si>
    <t>Currency</t>
  </si>
  <si>
    <t>Total</t>
  </si>
  <si>
    <t>Retried Amount</t>
  </si>
  <si>
    <t>Fees</t>
  </si>
  <si>
    <t>Reserved Funds</t>
  </si>
  <si>
    <t>Advances</t>
  </si>
  <si>
    <t>Marketplace Sales Tax</t>
  </si>
  <si>
    <t>Adjustments</t>
  </si>
  <si>
    <t>Refunds</t>
  </si>
  <si>
    <t>Charges</t>
  </si>
  <si>
    <t>Status</t>
  </si>
  <si>
    <t>Payout Date</t>
  </si>
  <si>
    <t>備考</t>
    <rPh sb="0" eb="2">
      <t xml:space="preserve">ビコウ </t>
    </rPh>
    <phoneticPr fontId="1"/>
  </si>
  <si>
    <t>売上合計</t>
    <rPh sb="0" eb="1">
      <t xml:space="preserve">ウリアゲ </t>
    </rPh>
    <rPh sb="2" eb="4">
      <t xml:space="preserve">ゴウケイ </t>
    </rPh>
    <phoneticPr fontId="1"/>
  </si>
  <si>
    <t>変動費 計</t>
    <phoneticPr fontId="1"/>
  </si>
  <si>
    <t>オンラインショップ手数料</t>
    <rPh sb="9" eb="12">
      <t xml:space="preserve">テスウリョウ </t>
    </rPh>
    <phoneticPr fontId="1"/>
  </si>
  <si>
    <t>SHUWAN販売合計金額</t>
    <rPh sb="6" eb="8">
      <t xml:space="preserve">ハンバイ </t>
    </rPh>
    <rPh sb="8" eb="10">
      <t xml:space="preserve">ゴウケイ </t>
    </rPh>
    <rPh sb="10" eb="12">
      <t xml:space="preserve">キンガク </t>
    </rPh>
    <phoneticPr fontId="1"/>
  </si>
  <si>
    <t>プロモーション割引合計</t>
    <phoneticPr fontId="1"/>
  </si>
  <si>
    <t>Amazon手数料</t>
    <phoneticPr fontId="1"/>
  </si>
  <si>
    <t>AMAZON収支</t>
    <rPh sb="6" eb="8">
      <t xml:space="preserve">シュウシ </t>
    </rPh>
    <phoneticPr fontId="1"/>
  </si>
  <si>
    <t>Amazon</t>
    <rPh sb="0" eb="3">
      <t>Amazon</t>
    </rPh>
    <phoneticPr fontId="1"/>
  </si>
  <si>
    <t>支払い実行済み</t>
  </si>
  <si>
    <t>注文に対する支払い</t>
  </si>
  <si>
    <t>日付</t>
  </si>
  <si>
    <t>トランザクションステータス</t>
  </si>
  <si>
    <t>トランザクションの種類</t>
  </si>
  <si>
    <t>注文番号</t>
  </si>
  <si>
    <t>商品の詳細</t>
  </si>
  <si>
    <t>商品価格合計</t>
  </si>
  <si>
    <t>プロモーション割引合計</t>
  </si>
  <si>
    <t>Amazon手数料</t>
  </si>
  <si>
    <t>その他</t>
  </si>
  <si>
    <t>合計 (JPY)</t>
  </si>
  <si>
    <t>サービス料金</t>
  </si>
  <si>
    <t>---</t>
  </si>
  <si>
    <t>広告費用</t>
  </si>
  <si>
    <t>月額登録料：</t>
  </si>
  <si>
    <t>その他費用</t>
    <phoneticPr fontId="1"/>
  </si>
  <si>
    <t>SHUWAN箱あり</t>
    <rPh sb="6" eb="7">
      <t xml:space="preserve">ハコアリ </t>
    </rPh>
    <phoneticPr fontId="1"/>
  </si>
  <si>
    <t>販売数量</t>
    <rPh sb="0" eb="2">
      <t xml:space="preserve">ハンバイ </t>
    </rPh>
    <rPh sb="2" eb="4">
      <t xml:space="preserve">スウリョウ </t>
    </rPh>
    <phoneticPr fontId="5"/>
  </si>
  <si>
    <t>FBA保管手数料：</t>
  </si>
  <si>
    <t>留保中</t>
  </si>
  <si>
    <t>(税抜)</t>
    <phoneticPr fontId="1"/>
  </si>
  <si>
    <t>オンラインショップ SHUWAN</t>
    <rPh sb="0" eb="2">
      <t>オンラインショップ</t>
    </rPh>
    <phoneticPr fontId="1"/>
  </si>
  <si>
    <t>オンラインショップ 桐箱2碗</t>
    <rPh sb="0" eb="2">
      <t>オンラインショップ</t>
    </rPh>
    <rPh sb="10" eb="12">
      <t xml:space="preserve">キリバコ </t>
    </rPh>
    <rPh sb="13" eb="14">
      <t xml:space="preserve">ワン </t>
    </rPh>
    <phoneticPr fontId="1"/>
  </si>
  <si>
    <t>オンラインショップ 桐箱1碗</t>
    <rPh sb="0" eb="2">
      <t>オンラインショップ</t>
    </rPh>
    <rPh sb="10" eb="12">
      <t xml:space="preserve">キリバコ </t>
    </rPh>
    <rPh sb="13" eb="14">
      <t xml:space="preserve">ワン </t>
    </rPh>
    <phoneticPr fontId="1"/>
  </si>
  <si>
    <t>オンラインショップ 紙袋2碗</t>
    <rPh sb="0" eb="2">
      <t>オンラインショップ</t>
    </rPh>
    <rPh sb="10" eb="12">
      <t xml:space="preserve">カミブクロ </t>
    </rPh>
    <rPh sb="13" eb="14">
      <t xml:space="preserve">ワン </t>
    </rPh>
    <phoneticPr fontId="1"/>
  </si>
  <si>
    <t>オンラインショップ 紙袋1碗</t>
    <rPh sb="0" eb="2">
      <t>オンラインショップ</t>
    </rPh>
    <rPh sb="10" eb="12">
      <t xml:space="preserve">カミブクロ </t>
    </rPh>
    <rPh sb="13" eb="14">
      <t xml:space="preserve">ワン </t>
    </rPh>
    <phoneticPr fontId="1"/>
  </si>
  <si>
    <t>桐箱&amp;紙袋 原価</t>
    <rPh sb="0" eb="2">
      <t xml:space="preserve">キリバコ </t>
    </rPh>
    <rPh sb="3" eb="5">
      <t xml:space="preserve">カミブクロ </t>
    </rPh>
    <phoneticPr fontId="1"/>
  </si>
  <si>
    <t>原価</t>
    <rPh sb="0" eb="2">
      <t xml:space="preserve">ゲンカ </t>
    </rPh>
    <phoneticPr fontId="1"/>
  </si>
  <si>
    <t>SHUWAN 正規品 公式 日テレ ゲンバ TV放映 かまいたち,日本酒グラス,...</t>
  </si>
  <si>
    <t>月額登録料(税込)</t>
    <rPh sb="6" eb="8">
      <t xml:space="preserve">ゼイコミ </t>
    </rPh>
    <phoneticPr fontId="1"/>
  </si>
  <si>
    <t>広告費用(税込)</t>
    <phoneticPr fontId="1"/>
  </si>
  <si>
    <t>アマゾン手数料 (税抜)</t>
    <rPh sb="4" eb="7">
      <t xml:space="preserve">テスウリョウ </t>
    </rPh>
    <rPh sb="9" eb="11">
      <t xml:space="preserve">ゼイヌキ </t>
    </rPh>
    <phoneticPr fontId="1"/>
  </si>
  <si>
    <t>プロモーション割引
税込合計(税抜)</t>
    <rPh sb="10" eb="12">
      <t xml:space="preserve">ゼイコミ </t>
    </rPh>
    <phoneticPr fontId="1"/>
  </si>
  <si>
    <t>Amazon手数料
月額登録料
広告費用
(税抜)</t>
    <phoneticPr fontId="1"/>
  </si>
  <si>
    <t>その他
(税抜)</t>
    <phoneticPr fontId="1"/>
  </si>
  <si>
    <t>販売金額
税込合計
(税抜)</t>
    <rPh sb="0" eb="4">
      <t xml:space="preserve">ハンバイキンガク </t>
    </rPh>
    <rPh sb="4" eb="6">
      <t xml:space="preserve">ゼイコミ </t>
    </rPh>
    <rPh sb="6" eb="8">
      <t xml:space="preserve">ゴウケイ </t>
    </rPh>
    <phoneticPr fontId="1"/>
  </si>
  <si>
    <t>その他+ 保管料</t>
    <rPh sb="5" eb="8">
      <t xml:space="preserve">ホカンリョウ </t>
    </rPh>
    <phoneticPr fontId="1"/>
  </si>
  <si>
    <t>SHUWAN箱なし</t>
    <rPh sb="6" eb="7">
      <t xml:space="preserve">ハコアリ </t>
    </rPh>
    <phoneticPr fontId="1"/>
  </si>
  <si>
    <t>SHUWAN 酒器 おちょこ ぐい呑み 日本酒グラス 270ml 磁器 日本製 ...</t>
  </si>
  <si>
    <t>250-9368172-1096655</t>
  </si>
  <si>
    <t>503-3464036-3301450</t>
  </si>
  <si>
    <t>249-0240305-1922219</t>
  </si>
  <si>
    <t>250-4237332-0807007</t>
  </si>
  <si>
    <t>503-2954992-7693449</t>
  </si>
  <si>
    <t>250-4197070-0070253</t>
  </si>
  <si>
    <t>503-5110917-1656655</t>
  </si>
  <si>
    <t>249-6589471-7840619</t>
  </si>
  <si>
    <t>249-8451542-4797430</t>
  </si>
  <si>
    <t>goooods</t>
    <phoneticPr fontId="1"/>
  </si>
  <si>
    <t>SHUWAN</t>
    <phoneticPr fontId="1"/>
  </si>
  <si>
    <t>取引手数料</t>
    <phoneticPr fontId="1"/>
  </si>
  <si>
    <t>事務手数料</t>
    <phoneticPr fontId="1"/>
  </si>
  <si>
    <t>goooods収支合計</t>
    <rPh sb="0" eb="2">
      <t xml:space="preserve">ゴウケイ </t>
    </rPh>
    <rPh sb="7" eb="9">
      <t xml:space="preserve">シュウシ </t>
    </rPh>
    <phoneticPr fontId="1"/>
  </si>
  <si>
    <t>goooods収支</t>
    <phoneticPr fontId="1"/>
  </si>
  <si>
    <t>COWSI CAMP</t>
    <phoneticPr fontId="1"/>
  </si>
  <si>
    <t>栗林酒造店</t>
    <rPh sb="0" eb="5">
      <t xml:space="preserve">リキマルサケテン シュセンドウ ホリイチ </t>
    </rPh>
    <phoneticPr fontId="1"/>
  </si>
  <si>
    <t>エルスタイル60碗
小宮酒店30</t>
    <phoneticPr fontId="1"/>
  </si>
  <si>
    <t>よろずや</t>
    <phoneticPr fontId="1"/>
  </si>
  <si>
    <t>SHUWAN 転写原価</t>
    <rPh sb="0" eb="2">
      <t xml:space="preserve">ゲンカ </t>
    </rPh>
    <rPh sb="7" eb="9">
      <t xml:space="preserve">テンシャ </t>
    </rPh>
    <rPh sb="9" eb="11">
      <t xml:space="preserve">ゲンカ </t>
    </rPh>
    <phoneticPr fontId="1"/>
  </si>
  <si>
    <t>503-6507365-4120654</t>
  </si>
  <si>
    <t>503-4838897-6374245</t>
  </si>
  <si>
    <t>503-5903037-0357468</t>
  </si>
  <si>
    <t>250-6040162-9227042</t>
  </si>
  <si>
    <t>250-7241853-8131023</t>
  </si>
  <si>
    <t>249-5148413-9663032</t>
  </si>
  <si>
    <t>503-7947852-5078213</t>
  </si>
  <si>
    <t>249-6945756-4584663</t>
  </si>
  <si>
    <t>249-7065941-0523003</t>
  </si>
  <si>
    <t>250-9319205-2697427</t>
  </si>
  <si>
    <t>250-1734693-3409432</t>
  </si>
  <si>
    <t>503-5041815-3680623</t>
  </si>
  <si>
    <t>250-7370376-1357458</t>
  </si>
  <si>
    <t>503-0884348-0303813</t>
  </si>
  <si>
    <t>249-9807028-5987058</t>
  </si>
  <si>
    <t>250-9117981-9391863</t>
  </si>
  <si>
    <t>249-4377803-5623007</t>
  </si>
  <si>
    <t>250-5392394-6906269</t>
  </si>
  <si>
    <t>249-8057717-4087060</t>
  </si>
  <si>
    <t>249-7247979-1267822</t>
  </si>
  <si>
    <t>503-6757419-9057433</t>
  </si>
  <si>
    <t>503-0318346-7605449</t>
  </si>
  <si>
    <t>503-4978745-3791025</t>
  </si>
  <si>
    <t>503-5290029-4058202</t>
  </si>
  <si>
    <t>249-7767185-6370210</t>
  </si>
  <si>
    <t>503-6506231-9414205</t>
  </si>
  <si>
    <t>8aa99fb5-c1fb-469f-87af-cffed348a76e</t>
  </si>
  <si>
    <t>プロモーション手数料</t>
  </si>
  <si>
    <t>249-6663644-0423835</t>
  </si>
  <si>
    <t>249-4029577-1199049</t>
  </si>
  <si>
    <t>503-0340133-1071051</t>
  </si>
  <si>
    <t>249-1103051-2167023</t>
  </si>
  <si>
    <t>503-5198640-9591053</t>
  </si>
  <si>
    <t>503-3427159-6503869</t>
  </si>
  <si>
    <t>249-1306768-1058221</t>
  </si>
  <si>
    <t>249-9848215-2354201</t>
  </si>
  <si>
    <t>503-9813308-5723815</t>
  </si>
  <si>
    <t>249-1205992-0868607</t>
  </si>
  <si>
    <t>249-7770570-1611862</t>
  </si>
  <si>
    <t>250-7497195-4319861</t>
  </si>
  <si>
    <t>250-2865374-9187824</t>
  </si>
  <si>
    <t>503-3719688-3740624</t>
  </si>
  <si>
    <t>249-7897899-8602261</t>
  </si>
  <si>
    <t>250-8727223-0312612</t>
  </si>
  <si>
    <t>249-5052477-4895804</t>
  </si>
  <si>
    <t>249-1277401-3523828</t>
  </si>
  <si>
    <t>503-6121592-2935803</t>
  </si>
  <si>
    <t>250-3972489-2535826</t>
  </si>
  <si>
    <t>250-9481001-4319801</t>
  </si>
  <si>
    <t>249-2089967-5282227</t>
  </si>
  <si>
    <t>250-8526137-9819067</t>
  </si>
  <si>
    <t>250-5543658-6480629</t>
  </si>
  <si>
    <t>249-6303647-3383837</t>
  </si>
  <si>
    <t>503-7746013-3289450</t>
  </si>
  <si>
    <t>249-2380719-2363849</t>
  </si>
  <si>
    <t>250-3771721-3990246</t>
  </si>
  <si>
    <t>250-8277842-4538266</t>
  </si>
  <si>
    <t>503-6921475-6220604</t>
  </si>
  <si>
    <t>503-3941798-4813446</t>
  </si>
  <si>
    <t>249-5576736-0963853</t>
  </si>
  <si>
    <t>250-3782231-3071019</t>
  </si>
  <si>
    <t>249-1213335-2323819</t>
  </si>
  <si>
    <t>返金</t>
  </si>
  <si>
    <t>250-9134522-5169467</t>
  </si>
  <si>
    <t>250-8667778-3679853</t>
  </si>
  <si>
    <t>249-0721921-7467853</t>
  </si>
  <si>
    <t>503-8680907-4301415</t>
  </si>
  <si>
    <t>250-2646002-8124653</t>
  </si>
  <si>
    <t>250-0890849-1656622</t>
  </si>
  <si>
    <t>桐箱1</t>
    <rPh sb="0" eb="2">
      <t xml:space="preserve">キリバコ </t>
    </rPh>
    <phoneticPr fontId="1"/>
  </si>
  <si>
    <t>桐箱2</t>
    <rPh sb="0" eb="2">
      <t xml:space="preserve">キリバコ </t>
    </rPh>
    <phoneticPr fontId="1"/>
  </si>
  <si>
    <t>プロモーション手数料(税込)</t>
    <phoneticPr fontId="1"/>
  </si>
  <si>
    <t>月額登録料
広告費用
プロモーション手数料
(税抜)</t>
    <phoneticPr fontId="1"/>
  </si>
  <si>
    <t>広告費用
月額登録料
プロモーション手数料</t>
    <phoneticPr fontId="1"/>
  </si>
  <si>
    <t>アマゾン桐箱 1碗箱</t>
    <rPh sb="4" eb="6">
      <t xml:space="preserve">キリバコ </t>
    </rPh>
    <rPh sb="8" eb="10">
      <t xml:space="preserve">ワンバコ </t>
    </rPh>
    <phoneticPr fontId="1"/>
  </si>
  <si>
    <t>アマゾン販売分木箱コスト</t>
    <rPh sb="4" eb="7">
      <t xml:space="preserve">ハンバイブン </t>
    </rPh>
    <rPh sb="7" eb="9">
      <t xml:space="preserve">キバコ </t>
    </rPh>
    <phoneticPr fontId="1"/>
  </si>
  <si>
    <t>アマゾン桐箱 1碗箱 原価</t>
    <rPh sb="4" eb="6">
      <t xml:space="preserve">キリバコ </t>
    </rPh>
    <rPh sb="8" eb="10">
      <t xml:space="preserve">ワンバコ </t>
    </rPh>
    <rPh sb="11" eb="13">
      <t xml:space="preserve">ゲンカ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</si>
</sst>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&quot;箱無し販売&quot;0"/>
  </numFmts>
  <fonts count="7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5"/>
      <color theme="1"/>
      <name val="游ゴシック"/>
      <family val="2"/>
      <charset val="128"/>
      <scheme val="minor"/>
    </font>
    <font>
      <sz val="15"/>
      <color theme="1"/>
      <name val="游ゴシック"/>
      <family val="3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6" fontId="4" fillId="0" borderId="1" xfId="2" applyFont="1" applyBorder="1">
      <alignment vertical="center"/>
    </xf>
    <xf numFmtId="38" fontId="4" fillId="0" borderId="1" xfId="1" applyFont="1" applyBorder="1">
      <alignment vertical="center"/>
    </xf>
    <xf numFmtId="0" fontId="4" fillId="0" borderId="0" xfId="0" applyFont="1">
      <alignment vertical="center"/>
    </xf>
    <xf numFmtId="6" fontId="4" fillId="0" borderId="0" xfId="2" applyFont="1" applyBorder="1">
      <alignment vertical="center"/>
    </xf>
    <xf numFmtId="6" fontId="4" fillId="0" borderId="0" xfId="2" applyFont="1">
      <alignment vertical="center"/>
    </xf>
    <xf numFmtId="6" fontId="4" fillId="0" borderId="1" xfId="0" applyNumberFormat="1" applyFont="1" applyBorder="1">
      <alignment vertical="center"/>
    </xf>
    <xf numFmtId="10" fontId="0" fillId="0" borderId="0" xfId="3" applyNumberFormat="1" applyFont="1">
      <alignment vertical="center"/>
    </xf>
    <xf numFmtId="14" fontId="0" fillId="0" borderId="0" xfId="0" applyNumberFormat="1">
      <alignment vertical="center"/>
    </xf>
    <xf numFmtId="6" fontId="4" fillId="0" borderId="2" xfId="2" applyFont="1" applyFill="1" applyBorder="1">
      <alignment vertical="center"/>
    </xf>
    <xf numFmtId="38" fontId="4" fillId="0" borderId="2" xfId="1" applyFont="1" applyFill="1" applyBorder="1">
      <alignment vertical="center"/>
    </xf>
    <xf numFmtId="0" fontId="4" fillId="0" borderId="2" xfId="0" applyFont="1" applyBorder="1">
      <alignment vertical="center"/>
    </xf>
    <xf numFmtId="38" fontId="4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10" fontId="3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6" fontId="4" fillId="0" borderId="1" xfId="2" applyFont="1" applyFill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6" fontId="3" fillId="0" borderId="1" xfId="2" applyFont="1" applyBorder="1">
      <alignment vertical="center"/>
    </xf>
    <xf numFmtId="0" fontId="6" fillId="0" borderId="0" xfId="0" applyFont="1">
      <alignment vertical="center"/>
    </xf>
    <xf numFmtId="176" fontId="3" fillId="0" borderId="1" xfId="0" applyNumberFormat="1" applyFont="1" applyBorder="1">
      <alignment vertical="center"/>
    </xf>
    <xf numFmtId="6" fontId="3" fillId="0" borderId="0" xfId="0" applyNumberFormat="1" applyFont="1">
      <alignment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6A28-B236-6144-8289-713B8B8327FB}">
  <dimension ref="A1:N54"/>
  <sheetViews>
    <sheetView tabSelected="1" view="pageBreakPreview" topLeftCell="A7" zoomScale="50" zoomScaleNormal="50" zoomScaleSheetLayoutView="50" workbookViewId="0">
      <selection activeCell="D40" sqref="D40"/>
    </sheetView>
  </sheetViews>
  <sheetFormatPr defaultColWidth="10.71875" defaultRowHeight="24.4" x14ac:dyDescent="0.8"/>
  <cols>
    <col min="1" max="1" width="33.27734375" style="1" bestFit="1" customWidth="1"/>
    <col min="2" max="2" width="12" style="1" customWidth="1"/>
    <col min="3" max="3" width="6" style="1" bestFit="1" customWidth="1"/>
    <col min="4" max="4" width="12.5546875" style="1" bestFit="1" customWidth="1"/>
    <col min="5" max="5" width="27" style="1" customWidth="1"/>
    <col min="6" max="6" width="3.27734375" style="1" customWidth="1"/>
    <col min="7" max="7" width="5.44140625" style="1" bestFit="1" customWidth="1"/>
    <col min="8" max="8" width="10.71875" style="1"/>
    <col min="9" max="9" width="21.83203125" style="1" bestFit="1" customWidth="1"/>
    <col min="10" max="16384" width="10.71875" style="1"/>
  </cols>
  <sheetData>
    <row r="1" spans="1:8" x14ac:dyDescent="0.8">
      <c r="A1" s="1" t="s">
        <v>13</v>
      </c>
    </row>
    <row r="2" spans="1:8" x14ac:dyDescent="0.8">
      <c r="A2" s="2" t="s">
        <v>2</v>
      </c>
      <c r="B2" s="2" t="s">
        <v>5</v>
      </c>
      <c r="C2" s="2" t="s">
        <v>3</v>
      </c>
      <c r="D2" s="2" t="s">
        <v>14</v>
      </c>
      <c r="E2" s="15" t="s">
        <v>32</v>
      </c>
      <c r="G2" s="15" t="s">
        <v>69</v>
      </c>
      <c r="H2" s="15" t="s">
        <v>14</v>
      </c>
    </row>
    <row r="3" spans="1:8" x14ac:dyDescent="0.8">
      <c r="A3" s="2" t="s">
        <v>64</v>
      </c>
      <c r="B3" s="15">
        <f>ROUND(2000/1.1,0)</f>
        <v>1818</v>
      </c>
      <c r="C3" s="15">
        <v>14</v>
      </c>
      <c r="D3" s="22">
        <f>C3*B3</f>
        <v>25452</v>
      </c>
      <c r="E3" s="15"/>
      <c r="G3" s="15">
        <f>18+620</f>
        <v>638</v>
      </c>
      <c r="H3" s="15">
        <f>G3*C3</f>
        <v>8932</v>
      </c>
    </row>
    <row r="4" spans="1:8" x14ac:dyDescent="0.8">
      <c r="A4" s="2" t="s">
        <v>65</v>
      </c>
      <c r="B4" s="15">
        <f>ROUND(1000/1.1,0)</f>
        <v>909</v>
      </c>
      <c r="C4" s="15">
        <v>7</v>
      </c>
      <c r="D4" s="22">
        <f t="shared" ref="D4:D6" si="0">C4*B4</f>
        <v>6363</v>
      </c>
      <c r="E4" s="15"/>
      <c r="G4" s="15">
        <f>18+420</f>
        <v>438</v>
      </c>
      <c r="H4" s="15">
        <f t="shared" ref="H4:H6" si="1">G4*C4</f>
        <v>3066</v>
      </c>
    </row>
    <row r="5" spans="1:8" x14ac:dyDescent="0.8">
      <c r="A5" s="2" t="s">
        <v>66</v>
      </c>
      <c r="B5" s="15">
        <f>ROUND(250/1.1,0)</f>
        <v>227</v>
      </c>
      <c r="C5" s="15">
        <v>15</v>
      </c>
      <c r="D5" s="22">
        <f t="shared" si="0"/>
        <v>3405</v>
      </c>
      <c r="E5" s="15"/>
      <c r="G5" s="15">
        <f>18+103</f>
        <v>121</v>
      </c>
      <c r="H5" s="15">
        <f t="shared" si="1"/>
        <v>1815</v>
      </c>
    </row>
    <row r="6" spans="1:8" x14ac:dyDescent="0.8">
      <c r="A6" s="2" t="s">
        <v>67</v>
      </c>
      <c r="B6" s="15">
        <f>ROUND(220/1.1,0)</f>
        <v>200</v>
      </c>
      <c r="C6" s="15">
        <v>4</v>
      </c>
      <c r="D6" s="22">
        <f t="shared" si="0"/>
        <v>800</v>
      </c>
      <c r="E6" s="15"/>
      <c r="G6" s="15">
        <f>18+99</f>
        <v>117</v>
      </c>
      <c r="H6" s="15">
        <f t="shared" si="1"/>
        <v>468</v>
      </c>
    </row>
    <row r="7" spans="1:8" x14ac:dyDescent="0.8">
      <c r="A7" s="2" t="s">
        <v>33</v>
      </c>
      <c r="B7" s="11"/>
      <c r="C7" s="14">
        <f>SUM(C3:C6)</f>
        <v>40</v>
      </c>
      <c r="D7" s="3">
        <f>SUM(D3:D6)</f>
        <v>36020</v>
      </c>
      <c r="E7" s="15"/>
      <c r="G7" s="15"/>
      <c r="H7" s="3">
        <f>SUM(H3:H6)</f>
        <v>14281</v>
      </c>
    </row>
    <row r="9" spans="1:8" x14ac:dyDescent="0.8">
      <c r="A9" s="2" t="s">
        <v>2</v>
      </c>
      <c r="B9" s="2" t="s">
        <v>5</v>
      </c>
      <c r="C9" s="2" t="s">
        <v>3</v>
      </c>
      <c r="D9" s="2" t="s">
        <v>14</v>
      </c>
      <c r="E9" s="15" t="s">
        <v>32</v>
      </c>
    </row>
    <row r="10" spans="1:8" x14ac:dyDescent="0.8">
      <c r="A10" s="2" t="s">
        <v>63</v>
      </c>
      <c r="B10" s="3">
        <f t="shared" ref="B10" si="2">ROUND(D10/C10,0)</f>
        <v>3900</v>
      </c>
      <c r="C10" s="4">
        <v>85</v>
      </c>
      <c r="D10" s="3">
        <v>331500</v>
      </c>
      <c r="E10" s="15"/>
    </row>
    <row r="11" spans="1:8" x14ac:dyDescent="0.8">
      <c r="A11" s="2" t="s">
        <v>58</v>
      </c>
      <c r="B11" s="3">
        <v>3150</v>
      </c>
      <c r="C11" s="4">
        <v>3</v>
      </c>
      <c r="D11" s="3">
        <f t="shared" ref="D11:D13" si="3">C11*B11</f>
        <v>9450</v>
      </c>
      <c r="E11" s="20" t="s">
        <v>96</v>
      </c>
    </row>
    <row r="12" spans="1:8" x14ac:dyDescent="0.8">
      <c r="A12" s="2" t="s">
        <v>58</v>
      </c>
      <c r="B12" s="3">
        <v>2880</v>
      </c>
      <c r="C12" s="4">
        <v>2</v>
      </c>
      <c r="D12" s="3">
        <f t="shared" si="3"/>
        <v>5760</v>
      </c>
      <c r="E12" s="20" t="s">
        <v>97</v>
      </c>
    </row>
    <row r="13" spans="1:8" ht="48.75" x14ac:dyDescent="0.8">
      <c r="A13" s="2" t="s">
        <v>58</v>
      </c>
      <c r="B13" s="3">
        <v>2640</v>
      </c>
      <c r="C13" s="4">
        <v>90</v>
      </c>
      <c r="D13" s="3">
        <f t="shared" si="3"/>
        <v>237600</v>
      </c>
      <c r="E13" s="20" t="s">
        <v>98</v>
      </c>
    </row>
    <row r="14" spans="1:8" ht="48.75" x14ac:dyDescent="0.8">
      <c r="A14" s="2" t="s">
        <v>58</v>
      </c>
      <c r="B14" s="3">
        <v>2516</v>
      </c>
      <c r="C14" s="4">
        <v>30</v>
      </c>
      <c r="D14" s="3">
        <f t="shared" ref="D14:D16" si="4">C14*B14</f>
        <v>75480</v>
      </c>
      <c r="E14" s="20" t="s">
        <v>98</v>
      </c>
    </row>
    <row r="15" spans="1:8" x14ac:dyDescent="0.8">
      <c r="A15" s="2" t="s">
        <v>58</v>
      </c>
      <c r="B15" s="3">
        <v>2145</v>
      </c>
      <c r="C15" s="4">
        <v>30</v>
      </c>
      <c r="D15" s="3">
        <f t="shared" ref="D15" si="5">C15*B15</f>
        <v>64350</v>
      </c>
      <c r="E15" s="20" t="s">
        <v>99</v>
      </c>
    </row>
    <row r="16" spans="1:8" x14ac:dyDescent="0.8">
      <c r="A16" s="2" t="s">
        <v>79</v>
      </c>
      <c r="B16" s="3">
        <v>2680</v>
      </c>
      <c r="C16" s="4">
        <v>5</v>
      </c>
      <c r="D16" s="3">
        <f t="shared" si="4"/>
        <v>13400</v>
      </c>
      <c r="E16" s="20" t="s">
        <v>97</v>
      </c>
    </row>
    <row r="17" spans="1:14" x14ac:dyDescent="0.8">
      <c r="A17" s="2" t="s">
        <v>33</v>
      </c>
      <c r="B17" s="11"/>
      <c r="C17" s="14">
        <f>SUM(C10:C16)</f>
        <v>245</v>
      </c>
      <c r="D17" s="3">
        <f>SUM(D10:D16)</f>
        <v>737540</v>
      </c>
      <c r="E17" s="15"/>
    </row>
    <row r="18" spans="1:14" x14ac:dyDescent="0.8">
      <c r="A18" s="5"/>
      <c r="B18" s="5"/>
      <c r="C18" s="5"/>
      <c r="D18" s="6"/>
    </row>
    <row r="19" spans="1:14" x14ac:dyDescent="0.8">
      <c r="A19" s="2" t="s">
        <v>40</v>
      </c>
      <c r="B19" s="2" t="s">
        <v>5</v>
      </c>
      <c r="C19" s="2" t="s">
        <v>3</v>
      </c>
      <c r="D19" s="2" t="s">
        <v>14</v>
      </c>
      <c r="E19" s="15" t="s">
        <v>32</v>
      </c>
      <c r="H19" s="23"/>
    </row>
    <row r="20" spans="1:14" x14ac:dyDescent="0.8">
      <c r="A20" s="2" t="s">
        <v>177</v>
      </c>
      <c r="B20" s="15">
        <v>420</v>
      </c>
      <c r="C20" s="15">
        <v>6</v>
      </c>
      <c r="D20" s="22">
        <f t="shared" ref="D20" si="6">C20*B20</f>
        <v>2520</v>
      </c>
      <c r="E20" s="15" t="s">
        <v>176</v>
      </c>
      <c r="H20" s="23"/>
    </row>
    <row r="21" spans="1:14" x14ac:dyDescent="0.8">
      <c r="A21" s="2" t="s">
        <v>175</v>
      </c>
      <c r="B21" s="3">
        <v>0</v>
      </c>
      <c r="C21" s="2"/>
      <c r="D21" s="2"/>
      <c r="E21" s="15"/>
      <c r="H21" s="23"/>
    </row>
    <row r="22" spans="1:14" x14ac:dyDescent="0.8">
      <c r="A22" s="2" t="s">
        <v>36</v>
      </c>
      <c r="B22" s="3">
        <f>ROUND(D22/C22,0)</f>
        <v>3981</v>
      </c>
      <c r="C22" s="2">
        <v>68</v>
      </c>
      <c r="D22" s="3">
        <v>270701</v>
      </c>
      <c r="E22" s="15"/>
    </row>
    <row r="23" spans="1:14" x14ac:dyDescent="0.8">
      <c r="A23" s="2" t="s">
        <v>37</v>
      </c>
      <c r="B23" s="11"/>
      <c r="C23" s="11"/>
      <c r="D23" s="3">
        <v>2335</v>
      </c>
      <c r="E23" s="15"/>
    </row>
    <row r="24" spans="1:14" x14ac:dyDescent="0.8">
      <c r="A24" s="2" t="s">
        <v>38</v>
      </c>
      <c r="B24" s="11"/>
      <c r="C24" s="11"/>
      <c r="D24" s="3">
        <v>37404</v>
      </c>
      <c r="E24" s="15"/>
    </row>
    <row r="25" spans="1:14" x14ac:dyDescent="0.8">
      <c r="A25" s="2" t="s">
        <v>78</v>
      </c>
      <c r="B25" s="11"/>
      <c r="C25" s="11"/>
      <c r="D25" s="3">
        <v>-25157</v>
      </c>
      <c r="E25" s="15"/>
    </row>
    <row r="26" spans="1:14" ht="73.150000000000006" x14ac:dyDescent="0.8">
      <c r="A26" s="2" t="s">
        <v>57</v>
      </c>
      <c r="B26" s="19"/>
      <c r="C26" s="19"/>
      <c r="D26" s="3">
        <v>98865</v>
      </c>
      <c r="E26" s="20" t="s">
        <v>174</v>
      </c>
    </row>
    <row r="27" spans="1:14" x14ac:dyDescent="0.8">
      <c r="A27" s="2" t="s">
        <v>16</v>
      </c>
      <c r="B27" s="2"/>
      <c r="C27" s="2"/>
      <c r="D27" s="3">
        <f>D22-D23-D24-D25-D26-D20-D21</f>
        <v>154734</v>
      </c>
      <c r="E27" s="15"/>
    </row>
    <row r="28" spans="1:14" x14ac:dyDescent="0.8">
      <c r="A28" s="5"/>
      <c r="B28" s="5"/>
      <c r="C28" s="5"/>
      <c r="D28" s="6"/>
      <c r="N28" s="25"/>
    </row>
    <row r="29" spans="1:14" x14ac:dyDescent="0.8">
      <c r="A29" s="2" t="s">
        <v>90</v>
      </c>
      <c r="B29" s="2" t="s">
        <v>5</v>
      </c>
      <c r="C29" s="2" t="s">
        <v>3</v>
      </c>
      <c r="D29" s="2" t="s">
        <v>14</v>
      </c>
      <c r="E29" s="15" t="s">
        <v>32</v>
      </c>
    </row>
    <row r="30" spans="1:14" x14ac:dyDescent="0.8">
      <c r="A30" s="2" t="s">
        <v>91</v>
      </c>
      <c r="B30" s="3">
        <v>3120</v>
      </c>
      <c r="C30" s="2">
        <v>0</v>
      </c>
      <c r="D30" s="3">
        <f>C30*B30</f>
        <v>0</v>
      </c>
      <c r="E30" s="15"/>
    </row>
    <row r="31" spans="1:14" x14ac:dyDescent="0.8">
      <c r="A31" s="2" t="s">
        <v>92</v>
      </c>
      <c r="B31" s="3">
        <v>0</v>
      </c>
      <c r="C31" s="2">
        <v>0</v>
      </c>
      <c r="D31" s="3">
        <f>C31*B31</f>
        <v>0</v>
      </c>
      <c r="E31" s="15"/>
    </row>
    <row r="32" spans="1:14" x14ac:dyDescent="0.8">
      <c r="A32" s="2" t="s">
        <v>93</v>
      </c>
      <c r="B32" s="3">
        <v>0</v>
      </c>
      <c r="C32" s="2">
        <v>0</v>
      </c>
      <c r="D32" s="3">
        <f>C32*B32</f>
        <v>0</v>
      </c>
      <c r="E32" s="15"/>
    </row>
    <row r="33" spans="1:5" x14ac:dyDescent="0.8">
      <c r="A33" s="2" t="s">
        <v>94</v>
      </c>
      <c r="B33" s="11"/>
      <c r="C33" s="11"/>
      <c r="D33" s="3">
        <f>D30-D31-D32</f>
        <v>0</v>
      </c>
      <c r="E33" s="15"/>
    </row>
    <row r="34" spans="1:5" x14ac:dyDescent="0.8">
      <c r="A34" s="5"/>
      <c r="B34" s="5"/>
      <c r="C34" s="5"/>
      <c r="D34" s="6"/>
    </row>
    <row r="35" spans="1:5" x14ac:dyDescent="0.8">
      <c r="A35" s="5" t="s">
        <v>4</v>
      </c>
      <c r="B35" s="7"/>
      <c r="D35" s="7"/>
    </row>
    <row r="36" spans="1:5" x14ac:dyDescent="0.8">
      <c r="A36" s="2" t="s">
        <v>2</v>
      </c>
      <c r="B36" s="2" t="s">
        <v>5</v>
      </c>
      <c r="C36" s="2" t="s">
        <v>3</v>
      </c>
      <c r="D36" s="2" t="s">
        <v>14</v>
      </c>
      <c r="E36" s="15" t="s">
        <v>32</v>
      </c>
    </row>
    <row r="37" spans="1:5" x14ac:dyDescent="0.8">
      <c r="A37" s="2" t="s">
        <v>9</v>
      </c>
      <c r="B37" s="3">
        <v>1260</v>
      </c>
      <c r="C37" s="4">
        <f>C17+C22+C30</f>
        <v>313</v>
      </c>
      <c r="D37" s="3">
        <f>B37*C37</f>
        <v>394380</v>
      </c>
      <c r="E37" s="15"/>
    </row>
    <row r="38" spans="1:5" x14ac:dyDescent="0.8">
      <c r="A38" s="2" t="s">
        <v>100</v>
      </c>
      <c r="B38" s="3">
        <v>240</v>
      </c>
      <c r="C38" s="4">
        <v>30</v>
      </c>
      <c r="D38" s="3">
        <f>B38*C38</f>
        <v>7200</v>
      </c>
      <c r="E38" s="15"/>
    </row>
    <row r="39" spans="1:5" x14ac:dyDescent="0.8">
      <c r="A39" s="2" t="s">
        <v>68</v>
      </c>
      <c r="B39" s="3">
        <f>ROUND(D39/C39,0)</f>
        <v>357</v>
      </c>
      <c r="C39" s="4">
        <f>C7</f>
        <v>40</v>
      </c>
      <c r="D39" s="3">
        <f>H7</f>
        <v>14281</v>
      </c>
      <c r="E39" s="15"/>
    </row>
    <row r="40" spans="1:5" x14ac:dyDescent="0.8">
      <c r="A40" s="2" t="s">
        <v>6</v>
      </c>
      <c r="B40" s="3">
        <v>100</v>
      </c>
      <c r="C40" s="4">
        <f>C17+C22+C30-E40</f>
        <v>308</v>
      </c>
      <c r="D40" s="3">
        <f>B40*C40</f>
        <v>30800</v>
      </c>
      <c r="E40" s="24">
        <v>5</v>
      </c>
    </row>
    <row r="41" spans="1:5" x14ac:dyDescent="0.8">
      <c r="A41" s="2" t="s">
        <v>7</v>
      </c>
      <c r="B41" s="3">
        <f>ROUND(150/1.1,0)</f>
        <v>136</v>
      </c>
      <c r="C41" s="4">
        <f>C17</f>
        <v>245</v>
      </c>
      <c r="D41" s="3">
        <f>B41*C41</f>
        <v>33320</v>
      </c>
      <c r="E41" s="15"/>
    </row>
    <row r="42" spans="1:5" x14ac:dyDescent="0.8">
      <c r="A42" s="16" t="s">
        <v>35</v>
      </c>
      <c r="B42" s="11"/>
      <c r="C42" s="12"/>
      <c r="D42" s="3">
        <f>ROUND((D7+D10)*0.0373,0)</f>
        <v>13708</v>
      </c>
      <c r="E42" s="17">
        <v>-3.73E-2</v>
      </c>
    </row>
    <row r="43" spans="1:5" x14ac:dyDescent="0.8">
      <c r="A43" s="2" t="s">
        <v>34</v>
      </c>
      <c r="B43" s="13"/>
      <c r="C43" s="13"/>
      <c r="D43" s="3">
        <f>SUM(D37:D42)</f>
        <v>493689</v>
      </c>
      <c r="E43" s="15"/>
    </row>
    <row r="44" spans="1:5" x14ac:dyDescent="0.8">
      <c r="A44" s="5"/>
      <c r="B44" s="5"/>
      <c r="C44" s="5"/>
      <c r="D44" s="6"/>
    </row>
    <row r="45" spans="1:5" x14ac:dyDescent="0.8">
      <c r="A45" s="2" t="s">
        <v>2</v>
      </c>
      <c r="B45" s="2" t="s">
        <v>8</v>
      </c>
    </row>
    <row r="46" spans="1:5" x14ac:dyDescent="0.8">
      <c r="A46" s="2" t="s">
        <v>10</v>
      </c>
      <c r="B46" s="8">
        <f>D17</f>
        <v>737540</v>
      </c>
    </row>
    <row r="47" spans="1:5" x14ac:dyDescent="0.8">
      <c r="A47" s="2" t="s">
        <v>11</v>
      </c>
      <c r="B47" s="8">
        <f>D43</f>
        <v>493689</v>
      </c>
    </row>
    <row r="48" spans="1:5" x14ac:dyDescent="0.8">
      <c r="A48" s="2" t="s">
        <v>39</v>
      </c>
      <c r="B48" s="8">
        <f>D27</f>
        <v>154734</v>
      </c>
    </row>
    <row r="49" spans="1:2" x14ac:dyDescent="0.8">
      <c r="A49" s="2" t="s">
        <v>95</v>
      </c>
      <c r="B49" s="8">
        <f>D33</f>
        <v>0</v>
      </c>
    </row>
    <row r="50" spans="1:2" x14ac:dyDescent="0.8">
      <c r="A50" s="2" t="s">
        <v>0</v>
      </c>
      <c r="B50" s="8">
        <f>B46-B47+B48+B49</f>
        <v>398585</v>
      </c>
    </row>
    <row r="51" spans="1:2" x14ac:dyDescent="0.8">
      <c r="A51" s="2" t="s">
        <v>1</v>
      </c>
      <c r="B51" s="3">
        <f>ROUND(B50*0.6,0)</f>
        <v>239151</v>
      </c>
    </row>
    <row r="52" spans="1:2" x14ac:dyDescent="0.8">
      <c r="A52" s="2" t="s">
        <v>12</v>
      </c>
      <c r="B52" s="3">
        <f>B50*0.4</f>
        <v>159434</v>
      </c>
    </row>
    <row r="54" spans="1:2" x14ac:dyDescent="0.8">
      <c r="A54" s="1" t="s">
        <v>15</v>
      </c>
    </row>
  </sheetData>
  <phoneticPr fontId="1"/>
  <pageMargins left="0.25" right="0.25" top="0.75" bottom="0.75" header="0.3" footer="0.3"/>
  <pageSetup paperSize="9" scale="82" orientation="portrait" horizontalDpi="4294967293" verticalDpi="0" r:id="rId1"/>
  <headerFooter>
    <oddHeader>&amp;F</oddHeader>
  </headerFooter>
  <rowBreaks count="2" manualBreakCount="2">
    <brk id="18" max="4" man="1"/>
    <brk id="34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AF07-50AC-7F44-B074-C4820E76FF34}">
  <dimension ref="A1:M85"/>
  <sheetViews>
    <sheetView workbookViewId="0">
      <pane xSplit="8640" ySplit="840" topLeftCell="D1" activePane="bottomRight"/>
      <selection activeCell="E1" sqref="E1:E1048576"/>
      <selection pane="topRight" activeCell="L1" sqref="L1:L1048576"/>
      <selection pane="bottomLeft" activeCell="D10" sqref="D10"/>
      <selection pane="bottomRight" activeCell="E19" sqref="E19"/>
    </sheetView>
  </sheetViews>
  <sheetFormatPr defaultColWidth="10.6640625" defaultRowHeight="19.899999999999999" x14ac:dyDescent="0.8"/>
  <cols>
    <col min="5" max="5" width="62.1640625" bestFit="1" customWidth="1"/>
    <col min="6" max="6" width="15.71875" bestFit="1" customWidth="1"/>
    <col min="7" max="7" width="23.5546875" bestFit="1" customWidth="1"/>
    <col min="8" max="8" width="15.44140625" bestFit="1" customWidth="1"/>
    <col min="11" max="11" width="8.5546875" bestFit="1" customWidth="1"/>
  </cols>
  <sheetData>
    <row r="1" spans="1:13" x14ac:dyDescent="0.8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38</v>
      </c>
      <c r="I1" t="s">
        <v>51</v>
      </c>
      <c r="J1" t="s">
        <v>52</v>
      </c>
      <c r="K1" s="18" t="s">
        <v>59</v>
      </c>
      <c r="L1" t="s">
        <v>170</v>
      </c>
      <c r="M1" t="s">
        <v>171</v>
      </c>
    </row>
    <row r="2" spans="1:13" x14ac:dyDescent="0.8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</row>
    <row r="3" spans="1:13" x14ac:dyDescent="0.8">
      <c r="A3" s="10">
        <v>45961</v>
      </c>
      <c r="B3" t="s">
        <v>41</v>
      </c>
      <c r="C3" t="s">
        <v>42</v>
      </c>
      <c r="D3" t="s">
        <v>101</v>
      </c>
      <c r="E3" t="s">
        <v>80</v>
      </c>
      <c r="F3">
        <v>4527</v>
      </c>
      <c r="G3">
        <v>0</v>
      </c>
      <c r="H3">
        <v>-1248</v>
      </c>
      <c r="I3">
        <v>403</v>
      </c>
      <c r="J3">
        <v>3682</v>
      </c>
      <c r="K3">
        <v>1</v>
      </c>
    </row>
    <row r="4" spans="1:13" x14ac:dyDescent="0.8">
      <c r="A4" s="10">
        <v>45961</v>
      </c>
      <c r="B4" t="s">
        <v>41</v>
      </c>
      <c r="C4" t="s">
        <v>42</v>
      </c>
      <c r="D4" t="s">
        <v>102</v>
      </c>
      <c r="E4" t="s">
        <v>80</v>
      </c>
      <c r="F4">
        <v>5436</v>
      </c>
      <c r="G4">
        <v>0</v>
      </c>
      <c r="H4">
        <v>-1432</v>
      </c>
      <c r="I4">
        <v>484</v>
      </c>
      <c r="J4">
        <v>4488</v>
      </c>
      <c r="K4">
        <v>1</v>
      </c>
      <c r="L4">
        <v>1</v>
      </c>
    </row>
    <row r="5" spans="1:13" x14ac:dyDescent="0.8">
      <c r="A5" s="10">
        <v>45960</v>
      </c>
      <c r="B5" t="s">
        <v>41</v>
      </c>
      <c r="C5" t="s">
        <v>42</v>
      </c>
      <c r="D5" t="s">
        <v>105</v>
      </c>
      <c r="E5" t="s">
        <v>80</v>
      </c>
      <c r="F5">
        <v>5436</v>
      </c>
      <c r="G5">
        <v>0</v>
      </c>
      <c r="H5">
        <v>-465</v>
      </c>
      <c r="I5">
        <v>484</v>
      </c>
      <c r="J5">
        <v>5455</v>
      </c>
      <c r="K5">
        <v>1</v>
      </c>
      <c r="L5">
        <v>1</v>
      </c>
    </row>
    <row r="6" spans="1:13" x14ac:dyDescent="0.8">
      <c r="A6" s="10">
        <v>45960</v>
      </c>
      <c r="B6" t="s">
        <v>41</v>
      </c>
      <c r="C6" t="s">
        <v>42</v>
      </c>
      <c r="D6" t="s">
        <v>106</v>
      </c>
      <c r="E6" t="s">
        <v>80</v>
      </c>
      <c r="F6">
        <v>5436</v>
      </c>
      <c r="G6">
        <v>0</v>
      </c>
      <c r="H6">
        <v>-455</v>
      </c>
      <c r="I6">
        <v>484</v>
      </c>
      <c r="J6">
        <v>5465</v>
      </c>
      <c r="K6">
        <v>1</v>
      </c>
      <c r="L6">
        <v>1</v>
      </c>
    </row>
    <row r="7" spans="1:13" x14ac:dyDescent="0.8">
      <c r="A7" s="10">
        <v>45960</v>
      </c>
      <c r="B7" t="s">
        <v>41</v>
      </c>
      <c r="C7" t="s">
        <v>42</v>
      </c>
      <c r="D7" t="s">
        <v>107</v>
      </c>
      <c r="E7" t="s">
        <v>80</v>
      </c>
      <c r="F7">
        <v>4527</v>
      </c>
      <c r="G7">
        <v>0</v>
      </c>
      <c r="H7">
        <v>-689</v>
      </c>
      <c r="I7">
        <v>658</v>
      </c>
      <c r="J7">
        <v>4496</v>
      </c>
      <c r="K7">
        <v>1</v>
      </c>
    </row>
    <row r="8" spans="1:13" x14ac:dyDescent="0.8">
      <c r="A8" s="10">
        <v>45959</v>
      </c>
      <c r="B8" t="s">
        <v>41</v>
      </c>
      <c r="C8" t="s">
        <v>42</v>
      </c>
      <c r="D8" t="s">
        <v>108</v>
      </c>
      <c r="E8" t="s">
        <v>80</v>
      </c>
      <c r="F8">
        <v>5436</v>
      </c>
      <c r="G8">
        <v>0</v>
      </c>
      <c r="H8">
        <v>-455</v>
      </c>
      <c r="I8">
        <v>484</v>
      </c>
      <c r="J8">
        <v>5465</v>
      </c>
      <c r="K8">
        <v>1</v>
      </c>
      <c r="L8">
        <v>1</v>
      </c>
    </row>
    <row r="9" spans="1:13" x14ac:dyDescent="0.8">
      <c r="A9" s="10">
        <v>45958</v>
      </c>
      <c r="B9" t="s">
        <v>41</v>
      </c>
      <c r="C9" t="s">
        <v>42</v>
      </c>
      <c r="D9" t="s">
        <v>112</v>
      </c>
      <c r="E9" t="s">
        <v>80</v>
      </c>
      <c r="F9">
        <v>4527</v>
      </c>
      <c r="G9">
        <v>0</v>
      </c>
      <c r="H9">
        <v>-434</v>
      </c>
      <c r="I9">
        <v>403</v>
      </c>
      <c r="J9">
        <v>4496</v>
      </c>
      <c r="K9">
        <v>1</v>
      </c>
    </row>
    <row r="10" spans="1:13" x14ac:dyDescent="0.8">
      <c r="A10" s="10">
        <v>45956</v>
      </c>
      <c r="B10" t="s">
        <v>41</v>
      </c>
      <c r="C10" t="s">
        <v>42</v>
      </c>
      <c r="D10" t="s">
        <v>115</v>
      </c>
      <c r="E10" t="s">
        <v>80</v>
      </c>
      <c r="F10">
        <v>4527</v>
      </c>
      <c r="G10">
        <v>0</v>
      </c>
      <c r="H10">
        <v>-434</v>
      </c>
      <c r="I10">
        <v>403</v>
      </c>
      <c r="J10">
        <v>4496</v>
      </c>
      <c r="K10">
        <v>1</v>
      </c>
    </row>
    <row r="11" spans="1:13" x14ac:dyDescent="0.8">
      <c r="A11" s="10">
        <v>45956</v>
      </c>
      <c r="B11" t="s">
        <v>41</v>
      </c>
      <c r="C11" t="s">
        <v>53</v>
      </c>
      <c r="D11" t="s">
        <v>54</v>
      </c>
      <c r="E11" t="s">
        <v>55</v>
      </c>
      <c r="F11">
        <v>0</v>
      </c>
      <c r="G11">
        <v>0</v>
      </c>
      <c r="H11">
        <v>-55332</v>
      </c>
      <c r="I11">
        <v>0</v>
      </c>
      <c r="J11">
        <v>-55332</v>
      </c>
    </row>
    <row r="12" spans="1:13" x14ac:dyDescent="0.8">
      <c r="A12" s="10">
        <v>45955</v>
      </c>
      <c r="B12" t="s">
        <v>41</v>
      </c>
      <c r="C12" t="s">
        <v>42</v>
      </c>
      <c r="D12" t="s">
        <v>116</v>
      </c>
      <c r="E12" t="s">
        <v>80</v>
      </c>
      <c r="F12">
        <v>4042</v>
      </c>
      <c r="G12">
        <v>0</v>
      </c>
      <c r="H12">
        <v>-434</v>
      </c>
      <c r="I12">
        <v>354</v>
      </c>
      <c r="J12">
        <v>3962</v>
      </c>
      <c r="K12">
        <v>1</v>
      </c>
    </row>
    <row r="13" spans="1:13" x14ac:dyDescent="0.8">
      <c r="A13" s="10">
        <v>45954</v>
      </c>
      <c r="B13" t="s">
        <v>41</v>
      </c>
      <c r="C13" t="s">
        <v>42</v>
      </c>
      <c r="D13" t="s">
        <v>117</v>
      </c>
      <c r="E13" t="s">
        <v>80</v>
      </c>
      <c r="F13">
        <v>4527</v>
      </c>
      <c r="G13">
        <v>-418</v>
      </c>
      <c r="H13">
        <v>-434</v>
      </c>
      <c r="I13">
        <v>821</v>
      </c>
      <c r="J13">
        <v>4496</v>
      </c>
      <c r="K13">
        <v>1</v>
      </c>
    </row>
    <row r="14" spans="1:13" x14ac:dyDescent="0.8">
      <c r="A14" s="10">
        <v>45953</v>
      </c>
      <c r="B14" t="s">
        <v>41</v>
      </c>
      <c r="C14" t="s">
        <v>42</v>
      </c>
      <c r="D14" t="s">
        <v>118</v>
      </c>
      <c r="E14" t="s">
        <v>80</v>
      </c>
      <c r="F14">
        <v>4527</v>
      </c>
      <c r="G14">
        <v>-209</v>
      </c>
      <c r="H14">
        <v>-434</v>
      </c>
      <c r="I14">
        <v>612</v>
      </c>
      <c r="J14">
        <v>4496</v>
      </c>
      <c r="K14">
        <v>1</v>
      </c>
    </row>
    <row r="15" spans="1:13" x14ac:dyDescent="0.8">
      <c r="A15" s="10">
        <v>45952</v>
      </c>
      <c r="B15" t="s">
        <v>41</v>
      </c>
      <c r="C15" t="s">
        <v>42</v>
      </c>
      <c r="D15" t="s">
        <v>119</v>
      </c>
      <c r="E15" t="s">
        <v>80</v>
      </c>
      <c r="F15">
        <v>5436</v>
      </c>
      <c r="G15">
        <v>-524</v>
      </c>
      <c r="H15">
        <v>-455</v>
      </c>
      <c r="I15">
        <v>464</v>
      </c>
      <c r="J15">
        <v>4921</v>
      </c>
      <c r="K15">
        <v>1</v>
      </c>
      <c r="L15">
        <v>1</v>
      </c>
    </row>
    <row r="16" spans="1:13" x14ac:dyDescent="0.8">
      <c r="A16" s="10">
        <v>45952</v>
      </c>
      <c r="B16" t="s">
        <v>41</v>
      </c>
      <c r="C16" t="s">
        <v>42</v>
      </c>
      <c r="D16" t="s">
        <v>120</v>
      </c>
      <c r="E16" t="s">
        <v>80</v>
      </c>
      <c r="F16">
        <v>4527</v>
      </c>
      <c r="G16">
        <v>0</v>
      </c>
      <c r="H16">
        <v>-434</v>
      </c>
      <c r="I16">
        <v>403</v>
      </c>
      <c r="J16">
        <v>4496</v>
      </c>
      <c r="K16">
        <v>1</v>
      </c>
    </row>
    <row r="17" spans="1:11" x14ac:dyDescent="0.8">
      <c r="A17" s="10">
        <v>45952</v>
      </c>
      <c r="B17" t="s">
        <v>41</v>
      </c>
      <c r="C17" t="s">
        <v>42</v>
      </c>
      <c r="D17" t="s">
        <v>121</v>
      </c>
      <c r="E17" t="s">
        <v>80</v>
      </c>
      <c r="F17">
        <v>4527</v>
      </c>
      <c r="G17">
        <v>0</v>
      </c>
      <c r="H17">
        <v>-434</v>
      </c>
      <c r="I17">
        <v>403</v>
      </c>
      <c r="J17">
        <v>4496</v>
      </c>
      <c r="K17">
        <v>1</v>
      </c>
    </row>
    <row r="18" spans="1:11" x14ac:dyDescent="0.8">
      <c r="A18" s="10">
        <v>45952</v>
      </c>
      <c r="B18" t="s">
        <v>41</v>
      </c>
      <c r="C18" t="s">
        <v>42</v>
      </c>
      <c r="D18" t="s">
        <v>122</v>
      </c>
      <c r="E18" t="s">
        <v>80</v>
      </c>
      <c r="F18">
        <v>4042</v>
      </c>
      <c r="G18">
        <v>0</v>
      </c>
      <c r="H18">
        <v>-434</v>
      </c>
      <c r="I18">
        <v>354</v>
      </c>
      <c r="J18">
        <v>3962</v>
      </c>
      <c r="K18">
        <v>1</v>
      </c>
    </row>
    <row r="19" spans="1:11" x14ac:dyDescent="0.8">
      <c r="A19" s="10">
        <v>45952</v>
      </c>
      <c r="B19" t="s">
        <v>41</v>
      </c>
      <c r="C19" t="s">
        <v>42</v>
      </c>
      <c r="D19" t="s">
        <v>123</v>
      </c>
      <c r="E19" t="s">
        <v>80</v>
      </c>
      <c r="F19">
        <v>4042</v>
      </c>
      <c r="G19">
        <v>0</v>
      </c>
      <c r="H19">
        <v>-434</v>
      </c>
      <c r="I19">
        <v>354</v>
      </c>
      <c r="J19">
        <v>3962</v>
      </c>
      <c r="K19">
        <v>1</v>
      </c>
    </row>
    <row r="20" spans="1:11" x14ac:dyDescent="0.8">
      <c r="A20" s="10">
        <v>45951</v>
      </c>
      <c r="B20" t="s">
        <v>41</v>
      </c>
      <c r="C20" t="s">
        <v>42</v>
      </c>
      <c r="D20" t="s">
        <v>124</v>
      </c>
      <c r="E20" t="s">
        <v>80</v>
      </c>
      <c r="F20">
        <v>4527</v>
      </c>
      <c r="G20">
        <v>0</v>
      </c>
      <c r="H20">
        <v>-434</v>
      </c>
      <c r="I20">
        <v>403</v>
      </c>
      <c r="J20">
        <v>4496</v>
      </c>
      <c r="K20">
        <v>1</v>
      </c>
    </row>
    <row r="21" spans="1:11" x14ac:dyDescent="0.8">
      <c r="A21" s="10">
        <v>45951</v>
      </c>
      <c r="B21" t="s">
        <v>41</v>
      </c>
      <c r="C21" t="s">
        <v>42</v>
      </c>
      <c r="D21" t="s">
        <v>125</v>
      </c>
      <c r="E21" t="s">
        <v>80</v>
      </c>
      <c r="F21">
        <v>4042</v>
      </c>
      <c r="G21">
        <v>0</v>
      </c>
      <c r="H21">
        <v>-434</v>
      </c>
      <c r="I21">
        <v>354</v>
      </c>
      <c r="J21">
        <v>3962</v>
      </c>
      <c r="K21">
        <v>1</v>
      </c>
    </row>
    <row r="22" spans="1:11" x14ac:dyDescent="0.8">
      <c r="A22" s="10">
        <v>45951</v>
      </c>
      <c r="B22" t="s">
        <v>41</v>
      </c>
      <c r="C22" t="s">
        <v>42</v>
      </c>
      <c r="D22" t="s">
        <v>126</v>
      </c>
      <c r="E22" t="s">
        <v>80</v>
      </c>
      <c r="F22">
        <v>4042</v>
      </c>
      <c r="G22">
        <v>0</v>
      </c>
      <c r="H22">
        <v>-434</v>
      </c>
      <c r="I22">
        <v>354</v>
      </c>
      <c r="J22">
        <v>3962</v>
      </c>
      <c r="K22">
        <v>1</v>
      </c>
    </row>
    <row r="23" spans="1:11" x14ac:dyDescent="0.8">
      <c r="A23" s="10">
        <v>45951</v>
      </c>
      <c r="B23" t="s">
        <v>41</v>
      </c>
      <c r="C23" t="s">
        <v>53</v>
      </c>
      <c r="D23" t="s">
        <v>127</v>
      </c>
      <c r="E23" t="s">
        <v>128</v>
      </c>
      <c r="F23">
        <v>0</v>
      </c>
      <c r="G23">
        <v>0</v>
      </c>
      <c r="H23">
        <v>-17600</v>
      </c>
      <c r="I23">
        <v>0</v>
      </c>
      <c r="J23">
        <v>-17600</v>
      </c>
    </row>
    <row r="24" spans="1:11" x14ac:dyDescent="0.8">
      <c r="A24" s="10">
        <v>45950</v>
      </c>
      <c r="B24" t="s">
        <v>41</v>
      </c>
      <c r="C24" t="s">
        <v>42</v>
      </c>
      <c r="D24" t="s">
        <v>129</v>
      </c>
      <c r="E24" t="s">
        <v>80</v>
      </c>
      <c r="F24">
        <v>4042</v>
      </c>
      <c r="G24">
        <v>0</v>
      </c>
      <c r="H24">
        <v>-434</v>
      </c>
      <c r="I24">
        <v>354</v>
      </c>
      <c r="J24">
        <v>3962</v>
      </c>
      <c r="K24">
        <v>1</v>
      </c>
    </row>
    <row r="25" spans="1:11" x14ac:dyDescent="0.8">
      <c r="A25" s="10">
        <v>45950</v>
      </c>
      <c r="B25" t="s">
        <v>41</v>
      </c>
      <c r="C25" t="s">
        <v>42</v>
      </c>
      <c r="D25" t="s">
        <v>130</v>
      </c>
      <c r="E25" t="s">
        <v>80</v>
      </c>
      <c r="F25">
        <v>4042</v>
      </c>
      <c r="G25">
        <v>0</v>
      </c>
      <c r="H25">
        <v>-434</v>
      </c>
      <c r="I25">
        <v>354</v>
      </c>
      <c r="J25">
        <v>3962</v>
      </c>
      <c r="K25">
        <v>1</v>
      </c>
    </row>
    <row r="26" spans="1:11" x14ac:dyDescent="0.8">
      <c r="A26" s="10">
        <v>45949</v>
      </c>
      <c r="B26" t="s">
        <v>41</v>
      </c>
      <c r="C26" t="s">
        <v>42</v>
      </c>
      <c r="D26" t="s">
        <v>131</v>
      </c>
      <c r="E26" t="s">
        <v>80</v>
      </c>
      <c r="F26">
        <v>4042</v>
      </c>
      <c r="G26">
        <v>0</v>
      </c>
      <c r="H26">
        <v>-434</v>
      </c>
      <c r="I26">
        <v>354</v>
      </c>
      <c r="J26">
        <v>3962</v>
      </c>
      <c r="K26">
        <v>1</v>
      </c>
    </row>
    <row r="27" spans="1:11" x14ac:dyDescent="0.8">
      <c r="A27" s="10">
        <v>45949</v>
      </c>
      <c r="B27" t="s">
        <v>41</v>
      </c>
      <c r="C27" t="s">
        <v>42</v>
      </c>
      <c r="D27" t="s">
        <v>132</v>
      </c>
      <c r="E27" t="s">
        <v>80</v>
      </c>
      <c r="F27">
        <v>4042</v>
      </c>
      <c r="G27">
        <v>0</v>
      </c>
      <c r="H27">
        <v>-434</v>
      </c>
      <c r="I27">
        <v>354</v>
      </c>
      <c r="J27">
        <v>3962</v>
      </c>
      <c r="K27">
        <v>1</v>
      </c>
    </row>
    <row r="28" spans="1:11" x14ac:dyDescent="0.8">
      <c r="A28" s="10">
        <v>45948</v>
      </c>
      <c r="B28" t="s">
        <v>41</v>
      </c>
      <c r="C28" t="s">
        <v>42</v>
      </c>
      <c r="D28" t="s">
        <v>133</v>
      </c>
      <c r="E28" t="s">
        <v>80</v>
      </c>
      <c r="F28">
        <v>4042</v>
      </c>
      <c r="G28">
        <v>0</v>
      </c>
      <c r="H28">
        <v>-434</v>
      </c>
      <c r="I28">
        <v>354</v>
      </c>
      <c r="J28">
        <v>3962</v>
      </c>
      <c r="K28">
        <v>1</v>
      </c>
    </row>
    <row r="29" spans="1:11" x14ac:dyDescent="0.8">
      <c r="A29" s="10">
        <v>45948</v>
      </c>
      <c r="B29" t="s">
        <v>41</v>
      </c>
      <c r="C29" t="s">
        <v>42</v>
      </c>
      <c r="D29" t="s">
        <v>134</v>
      </c>
      <c r="E29" t="s">
        <v>80</v>
      </c>
      <c r="F29">
        <v>4042</v>
      </c>
      <c r="G29">
        <v>0</v>
      </c>
      <c r="H29">
        <v>-434</v>
      </c>
      <c r="I29">
        <v>354</v>
      </c>
      <c r="J29">
        <v>3962</v>
      </c>
      <c r="K29">
        <v>1</v>
      </c>
    </row>
    <row r="30" spans="1:11" x14ac:dyDescent="0.8">
      <c r="A30" s="10">
        <v>45948</v>
      </c>
      <c r="B30" t="s">
        <v>41</v>
      </c>
      <c r="C30" t="s">
        <v>42</v>
      </c>
      <c r="D30" t="s">
        <v>135</v>
      </c>
      <c r="E30" t="s">
        <v>80</v>
      </c>
      <c r="F30">
        <v>4042</v>
      </c>
      <c r="G30">
        <v>0</v>
      </c>
      <c r="H30">
        <v>-434</v>
      </c>
      <c r="I30">
        <v>354</v>
      </c>
      <c r="J30">
        <v>3962</v>
      </c>
      <c r="K30">
        <v>1</v>
      </c>
    </row>
    <row r="31" spans="1:11" x14ac:dyDescent="0.8">
      <c r="A31" s="10">
        <v>45948</v>
      </c>
      <c r="B31" t="s">
        <v>41</v>
      </c>
      <c r="C31" t="s">
        <v>42</v>
      </c>
      <c r="D31" t="s">
        <v>136</v>
      </c>
      <c r="E31" t="s">
        <v>80</v>
      </c>
      <c r="F31">
        <v>4042</v>
      </c>
      <c r="G31">
        <v>0</v>
      </c>
      <c r="H31">
        <v>-434</v>
      </c>
      <c r="I31">
        <v>354</v>
      </c>
      <c r="J31">
        <v>3962</v>
      </c>
      <c r="K31">
        <v>1</v>
      </c>
    </row>
    <row r="32" spans="1:11" x14ac:dyDescent="0.8">
      <c r="A32" s="10">
        <v>45947</v>
      </c>
      <c r="B32" t="s">
        <v>41</v>
      </c>
      <c r="C32" t="s">
        <v>42</v>
      </c>
      <c r="D32" t="s">
        <v>137</v>
      </c>
      <c r="E32" t="s">
        <v>80</v>
      </c>
      <c r="F32">
        <v>4042</v>
      </c>
      <c r="G32">
        <v>0</v>
      </c>
      <c r="H32">
        <v>-434</v>
      </c>
      <c r="I32">
        <v>354</v>
      </c>
      <c r="J32">
        <v>3962</v>
      </c>
      <c r="K32">
        <v>1</v>
      </c>
    </row>
    <row r="33" spans="1:12" x14ac:dyDescent="0.8">
      <c r="A33" s="10">
        <v>45947</v>
      </c>
      <c r="B33" t="s">
        <v>41</v>
      </c>
      <c r="C33" t="s">
        <v>42</v>
      </c>
      <c r="D33" t="s">
        <v>138</v>
      </c>
      <c r="E33" t="s">
        <v>80</v>
      </c>
      <c r="F33">
        <v>4042</v>
      </c>
      <c r="G33">
        <v>0</v>
      </c>
      <c r="H33">
        <v>-434</v>
      </c>
      <c r="I33">
        <v>354</v>
      </c>
      <c r="J33">
        <v>3962</v>
      </c>
      <c r="K33">
        <v>1</v>
      </c>
    </row>
    <row r="34" spans="1:12" x14ac:dyDescent="0.8">
      <c r="A34" s="10">
        <v>45947</v>
      </c>
      <c r="B34" t="s">
        <v>41</v>
      </c>
      <c r="C34" t="s">
        <v>42</v>
      </c>
      <c r="D34" t="s">
        <v>139</v>
      </c>
      <c r="E34" t="s">
        <v>80</v>
      </c>
      <c r="F34">
        <v>4042</v>
      </c>
      <c r="G34">
        <v>0</v>
      </c>
      <c r="H34">
        <v>-434</v>
      </c>
      <c r="I34">
        <v>354</v>
      </c>
      <c r="J34">
        <v>3962</v>
      </c>
      <c r="K34">
        <v>1</v>
      </c>
    </row>
    <row r="35" spans="1:12" x14ac:dyDescent="0.8">
      <c r="A35" s="10">
        <v>45946</v>
      </c>
      <c r="B35" t="s">
        <v>41</v>
      </c>
      <c r="C35" t="s">
        <v>42</v>
      </c>
      <c r="D35" t="s">
        <v>140</v>
      </c>
      <c r="E35" t="s">
        <v>80</v>
      </c>
      <c r="F35">
        <v>4042</v>
      </c>
      <c r="G35">
        <v>0</v>
      </c>
      <c r="H35">
        <v>-434</v>
      </c>
      <c r="I35">
        <v>354</v>
      </c>
      <c r="J35">
        <v>3962</v>
      </c>
      <c r="K35">
        <v>1</v>
      </c>
    </row>
    <row r="36" spans="1:12" x14ac:dyDescent="0.8">
      <c r="A36" s="10">
        <v>45946</v>
      </c>
      <c r="B36" t="s">
        <v>41</v>
      </c>
      <c r="C36" t="s">
        <v>42</v>
      </c>
      <c r="D36" t="s">
        <v>141</v>
      </c>
      <c r="E36" t="s">
        <v>80</v>
      </c>
      <c r="F36">
        <v>4042</v>
      </c>
      <c r="G36">
        <v>0</v>
      </c>
      <c r="H36">
        <v>-434</v>
      </c>
      <c r="I36">
        <v>354</v>
      </c>
      <c r="J36">
        <v>3962</v>
      </c>
      <c r="K36">
        <v>1</v>
      </c>
    </row>
    <row r="37" spans="1:12" x14ac:dyDescent="0.8">
      <c r="A37" s="10">
        <v>45946</v>
      </c>
      <c r="B37" t="s">
        <v>41</v>
      </c>
      <c r="C37" t="s">
        <v>42</v>
      </c>
      <c r="D37" t="s">
        <v>142</v>
      </c>
      <c r="E37" t="s">
        <v>80</v>
      </c>
      <c r="F37">
        <v>4042</v>
      </c>
      <c r="G37">
        <v>0</v>
      </c>
      <c r="H37">
        <v>-434</v>
      </c>
      <c r="I37">
        <v>354</v>
      </c>
      <c r="J37">
        <v>3962</v>
      </c>
      <c r="K37">
        <v>1</v>
      </c>
    </row>
    <row r="38" spans="1:12" x14ac:dyDescent="0.8">
      <c r="A38" s="10">
        <v>45946</v>
      </c>
      <c r="B38" t="s">
        <v>41</v>
      </c>
      <c r="C38" t="s">
        <v>42</v>
      </c>
      <c r="D38" t="s">
        <v>143</v>
      </c>
      <c r="E38" t="s">
        <v>80</v>
      </c>
      <c r="F38">
        <v>4042</v>
      </c>
      <c r="G38">
        <v>0</v>
      </c>
      <c r="H38">
        <v>-434</v>
      </c>
      <c r="I38">
        <v>354</v>
      </c>
      <c r="J38">
        <v>3962</v>
      </c>
      <c r="K38">
        <v>1</v>
      </c>
    </row>
    <row r="39" spans="1:12" x14ac:dyDescent="0.8">
      <c r="A39" s="10">
        <v>45946</v>
      </c>
      <c r="B39" t="s">
        <v>41</v>
      </c>
      <c r="C39" t="s">
        <v>42</v>
      </c>
      <c r="D39" t="s">
        <v>144</v>
      </c>
      <c r="E39" t="s">
        <v>80</v>
      </c>
      <c r="F39">
        <v>4042</v>
      </c>
      <c r="G39">
        <v>0</v>
      </c>
      <c r="H39">
        <v>-434</v>
      </c>
      <c r="I39">
        <v>354</v>
      </c>
      <c r="J39">
        <v>3962</v>
      </c>
      <c r="K39">
        <v>1</v>
      </c>
    </row>
    <row r="40" spans="1:12" x14ac:dyDescent="0.8">
      <c r="A40" s="10">
        <v>45946</v>
      </c>
      <c r="B40" t="s">
        <v>41</v>
      </c>
      <c r="C40" t="s">
        <v>42</v>
      </c>
      <c r="D40" t="s">
        <v>145</v>
      </c>
      <c r="E40" t="s">
        <v>80</v>
      </c>
      <c r="F40">
        <v>4042</v>
      </c>
      <c r="G40">
        <v>0</v>
      </c>
      <c r="H40">
        <v>-434</v>
      </c>
      <c r="I40">
        <v>354</v>
      </c>
      <c r="J40">
        <v>3962</v>
      </c>
      <c r="K40">
        <v>1</v>
      </c>
    </row>
    <row r="41" spans="1:12" x14ac:dyDescent="0.8">
      <c r="A41" s="10">
        <v>45946</v>
      </c>
      <c r="B41" t="s">
        <v>41</v>
      </c>
      <c r="C41" t="s">
        <v>42</v>
      </c>
      <c r="D41" t="s">
        <v>146</v>
      </c>
      <c r="E41" t="s">
        <v>80</v>
      </c>
      <c r="F41">
        <v>4042</v>
      </c>
      <c r="G41">
        <v>0</v>
      </c>
      <c r="H41">
        <v>-434</v>
      </c>
      <c r="I41">
        <v>354</v>
      </c>
      <c r="J41">
        <v>3962</v>
      </c>
      <c r="K41">
        <v>1</v>
      </c>
    </row>
    <row r="42" spans="1:12" x14ac:dyDescent="0.8">
      <c r="A42" s="10">
        <v>45945</v>
      </c>
      <c r="B42" t="s">
        <v>41</v>
      </c>
      <c r="C42" t="s">
        <v>42</v>
      </c>
      <c r="D42" t="s">
        <v>147</v>
      </c>
      <c r="E42" t="s">
        <v>80</v>
      </c>
      <c r="F42">
        <v>4042</v>
      </c>
      <c r="G42">
        <v>0</v>
      </c>
      <c r="H42">
        <v>-434</v>
      </c>
      <c r="I42">
        <v>354</v>
      </c>
      <c r="J42">
        <v>3962</v>
      </c>
      <c r="K42">
        <v>1</v>
      </c>
    </row>
    <row r="43" spans="1:12" x14ac:dyDescent="0.8">
      <c r="A43" s="10">
        <v>45945</v>
      </c>
      <c r="B43" t="s">
        <v>41</v>
      </c>
      <c r="C43" t="s">
        <v>42</v>
      </c>
      <c r="D43" t="s">
        <v>148</v>
      </c>
      <c r="E43" t="s">
        <v>80</v>
      </c>
      <c r="F43">
        <v>4042</v>
      </c>
      <c r="G43">
        <v>0</v>
      </c>
      <c r="H43">
        <v>-434</v>
      </c>
      <c r="I43">
        <v>354</v>
      </c>
      <c r="J43">
        <v>3962</v>
      </c>
      <c r="K43">
        <v>1</v>
      </c>
    </row>
    <row r="44" spans="1:12" x14ac:dyDescent="0.8">
      <c r="A44" s="10">
        <v>45944</v>
      </c>
      <c r="B44" t="s">
        <v>41</v>
      </c>
      <c r="C44" t="s">
        <v>42</v>
      </c>
      <c r="D44" t="s">
        <v>149</v>
      </c>
      <c r="E44" t="s">
        <v>80</v>
      </c>
      <c r="F44">
        <v>4527</v>
      </c>
      <c r="G44">
        <v>0</v>
      </c>
      <c r="H44">
        <v>-434</v>
      </c>
      <c r="I44">
        <v>403</v>
      </c>
      <c r="J44">
        <v>4496</v>
      </c>
      <c r="K44">
        <v>1</v>
      </c>
    </row>
    <row r="45" spans="1:12" x14ac:dyDescent="0.8">
      <c r="A45" s="10">
        <v>45944</v>
      </c>
      <c r="B45" t="s">
        <v>41</v>
      </c>
      <c r="C45" t="s">
        <v>42</v>
      </c>
      <c r="D45" t="s">
        <v>150</v>
      </c>
      <c r="E45" t="s">
        <v>80</v>
      </c>
      <c r="F45">
        <v>4042</v>
      </c>
      <c r="G45">
        <v>0</v>
      </c>
      <c r="H45">
        <v>-434</v>
      </c>
      <c r="I45">
        <v>354</v>
      </c>
      <c r="J45">
        <v>3962</v>
      </c>
      <c r="K45">
        <v>1</v>
      </c>
    </row>
    <row r="46" spans="1:12" x14ac:dyDescent="0.8">
      <c r="A46" s="10">
        <v>45944</v>
      </c>
      <c r="B46" t="s">
        <v>41</v>
      </c>
      <c r="C46" t="s">
        <v>42</v>
      </c>
      <c r="D46" t="s">
        <v>151</v>
      </c>
      <c r="E46" t="s">
        <v>80</v>
      </c>
      <c r="F46">
        <v>5436</v>
      </c>
      <c r="G46">
        <v>0</v>
      </c>
      <c r="H46">
        <v>-434</v>
      </c>
      <c r="I46">
        <v>484</v>
      </c>
      <c r="J46">
        <v>5486</v>
      </c>
      <c r="K46">
        <v>1</v>
      </c>
      <c r="L46">
        <v>1</v>
      </c>
    </row>
    <row r="47" spans="1:12" x14ac:dyDescent="0.8">
      <c r="A47" s="10">
        <v>45943</v>
      </c>
      <c r="B47" t="s">
        <v>41</v>
      </c>
      <c r="C47" t="s">
        <v>42</v>
      </c>
      <c r="D47" t="s">
        <v>152</v>
      </c>
      <c r="E47" t="s">
        <v>80</v>
      </c>
      <c r="F47">
        <v>4042</v>
      </c>
      <c r="G47">
        <v>0</v>
      </c>
      <c r="H47">
        <v>-434</v>
      </c>
      <c r="I47">
        <v>354</v>
      </c>
      <c r="J47">
        <v>3962</v>
      </c>
      <c r="K47">
        <v>1</v>
      </c>
    </row>
    <row r="48" spans="1:12" x14ac:dyDescent="0.8">
      <c r="A48" s="10">
        <v>45943</v>
      </c>
      <c r="B48" t="s">
        <v>41</v>
      </c>
      <c r="C48" t="s">
        <v>42</v>
      </c>
      <c r="D48" t="s">
        <v>153</v>
      </c>
      <c r="E48" t="s">
        <v>80</v>
      </c>
      <c r="F48">
        <v>4042</v>
      </c>
      <c r="G48">
        <v>0</v>
      </c>
      <c r="H48">
        <v>-434</v>
      </c>
      <c r="I48">
        <v>354</v>
      </c>
      <c r="J48">
        <v>3962</v>
      </c>
      <c r="K48">
        <v>1</v>
      </c>
    </row>
    <row r="49" spans="1:11" x14ac:dyDescent="0.8">
      <c r="A49" s="10">
        <v>45943</v>
      </c>
      <c r="B49" t="s">
        <v>41</v>
      </c>
      <c r="C49" t="s">
        <v>42</v>
      </c>
      <c r="D49" t="s">
        <v>154</v>
      </c>
      <c r="E49" t="s">
        <v>80</v>
      </c>
      <c r="F49">
        <v>4527</v>
      </c>
      <c r="G49">
        <v>0</v>
      </c>
      <c r="H49">
        <v>-434</v>
      </c>
      <c r="I49">
        <v>403</v>
      </c>
      <c r="J49">
        <v>4496</v>
      </c>
      <c r="K49">
        <v>1</v>
      </c>
    </row>
    <row r="50" spans="1:11" x14ac:dyDescent="0.8">
      <c r="A50" s="10">
        <v>45942</v>
      </c>
      <c r="B50" t="s">
        <v>41</v>
      </c>
      <c r="C50" t="s">
        <v>42</v>
      </c>
      <c r="D50" t="s">
        <v>155</v>
      </c>
      <c r="E50" t="s">
        <v>80</v>
      </c>
      <c r="F50">
        <v>4042</v>
      </c>
      <c r="G50">
        <v>0</v>
      </c>
      <c r="H50">
        <v>-434</v>
      </c>
      <c r="I50">
        <v>354</v>
      </c>
      <c r="J50">
        <v>3962</v>
      </c>
      <c r="K50">
        <v>1</v>
      </c>
    </row>
    <row r="51" spans="1:11" x14ac:dyDescent="0.8">
      <c r="A51" s="10">
        <v>45942</v>
      </c>
      <c r="B51" t="s">
        <v>41</v>
      </c>
      <c r="C51" t="s">
        <v>42</v>
      </c>
      <c r="D51" t="s">
        <v>156</v>
      </c>
      <c r="E51" t="s">
        <v>80</v>
      </c>
      <c r="F51">
        <v>4042</v>
      </c>
      <c r="G51">
        <v>0</v>
      </c>
      <c r="H51">
        <v>-434</v>
      </c>
      <c r="I51">
        <v>354</v>
      </c>
      <c r="J51">
        <v>3962</v>
      </c>
      <c r="K51">
        <v>1</v>
      </c>
    </row>
    <row r="52" spans="1:11" x14ac:dyDescent="0.8">
      <c r="A52" s="10">
        <v>45942</v>
      </c>
      <c r="B52" t="s">
        <v>41</v>
      </c>
      <c r="C52" t="s">
        <v>42</v>
      </c>
      <c r="D52" t="s">
        <v>157</v>
      </c>
      <c r="E52" t="s">
        <v>80</v>
      </c>
      <c r="F52">
        <v>4042</v>
      </c>
      <c r="G52">
        <v>0</v>
      </c>
      <c r="H52">
        <v>-434</v>
      </c>
      <c r="I52">
        <v>354</v>
      </c>
      <c r="J52">
        <v>3962</v>
      </c>
      <c r="K52">
        <v>1</v>
      </c>
    </row>
    <row r="53" spans="1:11" x14ac:dyDescent="0.8">
      <c r="A53" s="10">
        <v>45942</v>
      </c>
      <c r="B53" t="s">
        <v>41</v>
      </c>
      <c r="C53" t="s">
        <v>42</v>
      </c>
      <c r="D53" t="s">
        <v>158</v>
      </c>
      <c r="E53" t="s">
        <v>80</v>
      </c>
      <c r="F53">
        <v>4042</v>
      </c>
      <c r="G53">
        <v>0</v>
      </c>
      <c r="H53">
        <v>-434</v>
      </c>
      <c r="I53">
        <v>354</v>
      </c>
      <c r="J53">
        <v>3962</v>
      </c>
      <c r="K53">
        <v>1</v>
      </c>
    </row>
    <row r="54" spans="1:11" x14ac:dyDescent="0.8">
      <c r="A54" s="10">
        <v>45942</v>
      </c>
      <c r="B54" t="s">
        <v>41</v>
      </c>
      <c r="C54" t="s">
        <v>42</v>
      </c>
      <c r="D54" t="s">
        <v>159</v>
      </c>
      <c r="E54" t="s">
        <v>80</v>
      </c>
      <c r="F54">
        <v>4527</v>
      </c>
      <c r="G54">
        <v>0</v>
      </c>
      <c r="H54">
        <v>-788</v>
      </c>
      <c r="I54">
        <v>757</v>
      </c>
      <c r="J54">
        <v>4496</v>
      </c>
      <c r="K54">
        <v>1</v>
      </c>
    </row>
    <row r="55" spans="1:11" x14ac:dyDescent="0.8">
      <c r="A55" s="10">
        <v>45941</v>
      </c>
      <c r="B55" t="s">
        <v>41</v>
      </c>
      <c r="C55" t="s">
        <v>42</v>
      </c>
      <c r="D55" t="s">
        <v>160</v>
      </c>
      <c r="E55" t="s">
        <v>80</v>
      </c>
      <c r="F55">
        <v>4527</v>
      </c>
      <c r="G55">
        <v>0</v>
      </c>
      <c r="H55">
        <v>-434</v>
      </c>
      <c r="I55">
        <v>403</v>
      </c>
      <c r="J55">
        <v>4496</v>
      </c>
      <c r="K55">
        <v>1</v>
      </c>
    </row>
    <row r="56" spans="1:11" x14ac:dyDescent="0.8">
      <c r="A56" s="10">
        <v>45940</v>
      </c>
      <c r="B56" t="s">
        <v>41</v>
      </c>
      <c r="C56" t="s">
        <v>42</v>
      </c>
      <c r="D56" t="s">
        <v>161</v>
      </c>
      <c r="E56" t="s">
        <v>80</v>
      </c>
      <c r="F56">
        <v>4527</v>
      </c>
      <c r="G56">
        <v>0</v>
      </c>
      <c r="H56">
        <v>-434</v>
      </c>
      <c r="I56">
        <v>403</v>
      </c>
      <c r="J56">
        <v>4496</v>
      </c>
      <c r="K56">
        <v>1</v>
      </c>
    </row>
    <row r="57" spans="1:11" x14ac:dyDescent="0.8">
      <c r="A57" s="10">
        <v>45940</v>
      </c>
      <c r="B57" t="s">
        <v>41</v>
      </c>
      <c r="C57" t="s">
        <v>42</v>
      </c>
      <c r="D57" t="s">
        <v>162</v>
      </c>
      <c r="E57" t="s">
        <v>80</v>
      </c>
      <c r="F57">
        <v>4527</v>
      </c>
      <c r="G57">
        <v>0</v>
      </c>
      <c r="H57">
        <v>-434</v>
      </c>
      <c r="I57">
        <v>403</v>
      </c>
      <c r="J57">
        <v>4496</v>
      </c>
      <c r="K57">
        <v>1</v>
      </c>
    </row>
    <row r="58" spans="1:11" x14ac:dyDescent="0.8">
      <c r="A58" s="10">
        <v>45939</v>
      </c>
      <c r="B58" t="s">
        <v>41</v>
      </c>
      <c r="C58" t="s">
        <v>53</v>
      </c>
      <c r="D58" t="s">
        <v>54</v>
      </c>
      <c r="E58" t="s">
        <v>56</v>
      </c>
      <c r="F58">
        <v>0</v>
      </c>
      <c r="G58">
        <v>0</v>
      </c>
      <c r="H58">
        <v>-5390</v>
      </c>
      <c r="I58">
        <v>0</v>
      </c>
      <c r="J58">
        <v>-5390</v>
      </c>
    </row>
    <row r="59" spans="1:11" x14ac:dyDescent="0.8">
      <c r="A59" s="10">
        <v>45939</v>
      </c>
      <c r="B59" t="s">
        <v>41</v>
      </c>
      <c r="C59" t="s">
        <v>42</v>
      </c>
      <c r="D59" t="s">
        <v>82</v>
      </c>
      <c r="E59" t="s">
        <v>80</v>
      </c>
      <c r="F59">
        <v>4527</v>
      </c>
      <c r="G59">
        <v>0</v>
      </c>
      <c r="H59">
        <v>-1248</v>
      </c>
      <c r="I59">
        <v>403</v>
      </c>
      <c r="J59">
        <v>3682</v>
      </c>
      <c r="K59">
        <v>1</v>
      </c>
    </row>
    <row r="60" spans="1:11" x14ac:dyDescent="0.8">
      <c r="A60" s="10">
        <v>45938</v>
      </c>
      <c r="B60" t="s">
        <v>41</v>
      </c>
      <c r="C60" t="s">
        <v>42</v>
      </c>
      <c r="D60" t="s">
        <v>89</v>
      </c>
      <c r="E60" t="s">
        <v>80</v>
      </c>
      <c r="F60">
        <v>9054</v>
      </c>
      <c r="G60">
        <v>-1418</v>
      </c>
      <c r="H60">
        <v>-2346</v>
      </c>
      <c r="I60">
        <v>1318</v>
      </c>
      <c r="J60">
        <v>6608</v>
      </c>
      <c r="K60">
        <v>2</v>
      </c>
    </row>
    <row r="61" spans="1:11" x14ac:dyDescent="0.8">
      <c r="A61" s="10">
        <v>45937</v>
      </c>
      <c r="B61" t="s">
        <v>41</v>
      </c>
      <c r="C61" t="s">
        <v>163</v>
      </c>
      <c r="D61" t="s">
        <v>81</v>
      </c>
      <c r="E61" t="s">
        <v>70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1" x14ac:dyDescent="0.8">
      <c r="A62" s="10">
        <v>45937</v>
      </c>
      <c r="B62" t="s">
        <v>41</v>
      </c>
      <c r="C62" t="s">
        <v>53</v>
      </c>
      <c r="D62" t="s">
        <v>54</v>
      </c>
      <c r="E62" t="s">
        <v>60</v>
      </c>
      <c r="F62">
        <v>0</v>
      </c>
      <c r="G62">
        <v>0</v>
      </c>
      <c r="H62">
        <v>0</v>
      </c>
      <c r="I62">
        <v>-376</v>
      </c>
      <c r="J62">
        <v>-376</v>
      </c>
    </row>
    <row r="63" spans="1:11" x14ac:dyDescent="0.8">
      <c r="A63" s="10">
        <v>45936</v>
      </c>
      <c r="B63" t="s">
        <v>41</v>
      </c>
      <c r="C63" t="s">
        <v>42</v>
      </c>
      <c r="D63" t="s">
        <v>83</v>
      </c>
      <c r="E63" t="s">
        <v>80</v>
      </c>
      <c r="F63">
        <v>4527</v>
      </c>
      <c r="G63">
        <v>0</v>
      </c>
      <c r="H63">
        <v>-1248</v>
      </c>
      <c r="I63">
        <v>403</v>
      </c>
      <c r="J63">
        <v>3682</v>
      </c>
      <c r="K63">
        <v>1</v>
      </c>
    </row>
    <row r="64" spans="1:11" x14ac:dyDescent="0.8">
      <c r="A64" s="10">
        <v>45936</v>
      </c>
      <c r="B64" t="s">
        <v>41</v>
      </c>
      <c r="C64" t="s">
        <v>42</v>
      </c>
      <c r="D64" t="s">
        <v>84</v>
      </c>
      <c r="E64" t="s">
        <v>80</v>
      </c>
      <c r="F64">
        <v>4527</v>
      </c>
      <c r="G64">
        <v>0</v>
      </c>
      <c r="H64">
        <v>-1248</v>
      </c>
      <c r="I64">
        <v>403</v>
      </c>
      <c r="J64">
        <v>3682</v>
      </c>
      <c r="K64">
        <v>1</v>
      </c>
    </row>
    <row r="65" spans="1:11" x14ac:dyDescent="0.8">
      <c r="A65" s="10">
        <v>45935</v>
      </c>
      <c r="B65" t="s">
        <v>41</v>
      </c>
      <c r="C65" t="s">
        <v>42</v>
      </c>
      <c r="D65" t="s">
        <v>85</v>
      </c>
      <c r="E65" t="s">
        <v>80</v>
      </c>
      <c r="F65">
        <v>4527</v>
      </c>
      <c r="G65">
        <v>0</v>
      </c>
      <c r="H65">
        <v>-1248</v>
      </c>
      <c r="I65">
        <v>403</v>
      </c>
      <c r="J65">
        <v>3682</v>
      </c>
      <c r="K65">
        <v>1</v>
      </c>
    </row>
    <row r="66" spans="1:11" x14ac:dyDescent="0.8">
      <c r="A66" s="10">
        <v>45935</v>
      </c>
      <c r="B66" t="s">
        <v>41</v>
      </c>
      <c r="C66" t="s">
        <v>42</v>
      </c>
      <c r="D66" t="s">
        <v>87</v>
      </c>
      <c r="E66" t="s">
        <v>80</v>
      </c>
      <c r="F66">
        <v>4527</v>
      </c>
      <c r="G66">
        <v>0</v>
      </c>
      <c r="H66">
        <v>-509</v>
      </c>
      <c r="I66">
        <v>403</v>
      </c>
      <c r="J66">
        <v>4421</v>
      </c>
      <c r="K66">
        <v>1</v>
      </c>
    </row>
    <row r="67" spans="1:11" x14ac:dyDescent="0.8">
      <c r="A67" s="10">
        <v>45934</v>
      </c>
      <c r="B67" t="s">
        <v>41</v>
      </c>
      <c r="C67" t="s">
        <v>42</v>
      </c>
      <c r="D67" t="s">
        <v>86</v>
      </c>
      <c r="E67" t="s">
        <v>80</v>
      </c>
      <c r="F67">
        <v>4527</v>
      </c>
      <c r="G67">
        <v>0</v>
      </c>
      <c r="H67">
        <v>-1248</v>
      </c>
      <c r="I67">
        <v>403</v>
      </c>
      <c r="J67">
        <v>3682</v>
      </c>
      <c r="K67">
        <v>1</v>
      </c>
    </row>
    <row r="68" spans="1:11" x14ac:dyDescent="0.8">
      <c r="A68" s="10">
        <v>45933</v>
      </c>
      <c r="B68" t="s">
        <v>41</v>
      </c>
      <c r="C68" t="s">
        <v>42</v>
      </c>
      <c r="D68" t="s">
        <v>88</v>
      </c>
      <c r="E68" t="s">
        <v>80</v>
      </c>
      <c r="F68">
        <v>9055</v>
      </c>
      <c r="G68">
        <v>0</v>
      </c>
      <c r="H68">
        <v>-2496</v>
      </c>
      <c r="I68">
        <v>805</v>
      </c>
      <c r="J68">
        <v>7364</v>
      </c>
      <c r="K68">
        <v>2</v>
      </c>
    </row>
    <row r="69" spans="1:11" x14ac:dyDescent="0.8">
      <c r="A69" s="10">
        <v>45932</v>
      </c>
      <c r="B69" t="s">
        <v>41</v>
      </c>
      <c r="C69" t="s">
        <v>42</v>
      </c>
      <c r="D69" t="s">
        <v>164</v>
      </c>
      <c r="E69" t="s">
        <v>80</v>
      </c>
      <c r="F69">
        <v>4527</v>
      </c>
      <c r="G69">
        <v>-581</v>
      </c>
      <c r="H69">
        <v>-434</v>
      </c>
      <c r="I69">
        <v>531</v>
      </c>
      <c r="J69">
        <v>4043</v>
      </c>
      <c r="K69">
        <v>1</v>
      </c>
    </row>
    <row r="70" spans="1:11" x14ac:dyDescent="0.8">
      <c r="A70" s="10">
        <v>45932</v>
      </c>
      <c r="B70" t="s">
        <v>41</v>
      </c>
      <c r="C70" t="s">
        <v>163</v>
      </c>
      <c r="D70" t="s">
        <v>164</v>
      </c>
      <c r="E70" t="s">
        <v>80</v>
      </c>
      <c r="F70">
        <v>-4527</v>
      </c>
      <c r="G70">
        <v>581</v>
      </c>
      <c r="H70">
        <v>0</v>
      </c>
      <c r="I70">
        <v>-531</v>
      </c>
      <c r="J70">
        <v>-4477</v>
      </c>
      <c r="K70">
        <v>-1</v>
      </c>
    </row>
    <row r="71" spans="1:11" x14ac:dyDescent="0.8">
      <c r="A71" s="10">
        <v>45932</v>
      </c>
      <c r="B71" t="s">
        <v>41</v>
      </c>
      <c r="C71" t="s">
        <v>42</v>
      </c>
      <c r="D71" t="s">
        <v>165</v>
      </c>
      <c r="E71" t="s">
        <v>80</v>
      </c>
      <c r="F71">
        <v>4527</v>
      </c>
      <c r="G71">
        <v>0</v>
      </c>
      <c r="H71">
        <v>-1248</v>
      </c>
      <c r="I71">
        <v>403</v>
      </c>
      <c r="J71">
        <v>3682</v>
      </c>
      <c r="K71">
        <v>1</v>
      </c>
    </row>
    <row r="72" spans="1:11" x14ac:dyDescent="0.8">
      <c r="A72" s="10">
        <v>45932</v>
      </c>
      <c r="B72" t="s">
        <v>41</v>
      </c>
      <c r="C72" t="s">
        <v>42</v>
      </c>
      <c r="D72" t="s">
        <v>166</v>
      </c>
      <c r="E72" t="s">
        <v>80</v>
      </c>
      <c r="F72">
        <v>4527</v>
      </c>
      <c r="G72">
        <v>0</v>
      </c>
      <c r="H72">
        <v>-434</v>
      </c>
      <c r="I72">
        <v>403</v>
      </c>
      <c r="J72">
        <v>4496</v>
      </c>
      <c r="K72">
        <v>1</v>
      </c>
    </row>
    <row r="73" spans="1:11" x14ac:dyDescent="0.8">
      <c r="A73" s="10">
        <v>45932</v>
      </c>
      <c r="B73" t="s">
        <v>41</v>
      </c>
      <c r="C73" t="s">
        <v>53</v>
      </c>
      <c r="D73" t="s">
        <v>54</v>
      </c>
      <c r="E73" t="s">
        <v>55</v>
      </c>
      <c r="F73">
        <v>0</v>
      </c>
      <c r="G73">
        <v>0</v>
      </c>
      <c r="H73">
        <v>-30430</v>
      </c>
      <c r="I73">
        <v>0</v>
      </c>
      <c r="J73">
        <v>-30430</v>
      </c>
    </row>
    <row r="74" spans="1:11" x14ac:dyDescent="0.8">
      <c r="A74" s="10">
        <v>45931</v>
      </c>
      <c r="B74" t="s">
        <v>41</v>
      </c>
      <c r="C74" t="s">
        <v>42</v>
      </c>
      <c r="D74" t="s">
        <v>167</v>
      </c>
      <c r="E74" t="s">
        <v>80</v>
      </c>
      <c r="F74">
        <v>4527</v>
      </c>
      <c r="G74">
        <v>0</v>
      </c>
      <c r="H74">
        <v>-1052</v>
      </c>
      <c r="I74">
        <v>403</v>
      </c>
      <c r="J74">
        <v>3878</v>
      </c>
      <c r="K74">
        <v>1</v>
      </c>
    </row>
    <row r="75" spans="1:11" x14ac:dyDescent="0.8">
      <c r="A75" s="10">
        <v>45931</v>
      </c>
      <c r="B75" t="s">
        <v>41</v>
      </c>
      <c r="C75" t="s">
        <v>42</v>
      </c>
      <c r="D75" t="s">
        <v>168</v>
      </c>
      <c r="E75" t="s">
        <v>80</v>
      </c>
      <c r="F75">
        <v>4527</v>
      </c>
      <c r="G75">
        <v>0</v>
      </c>
      <c r="H75">
        <v>-434</v>
      </c>
      <c r="I75">
        <v>403</v>
      </c>
      <c r="J75">
        <v>4496</v>
      </c>
      <c r="K75">
        <v>1</v>
      </c>
    </row>
    <row r="76" spans="1:11" x14ac:dyDescent="0.8">
      <c r="A76" s="10">
        <v>45931</v>
      </c>
      <c r="B76" t="s">
        <v>41</v>
      </c>
      <c r="C76" t="s">
        <v>42</v>
      </c>
      <c r="D76" t="s">
        <v>169</v>
      </c>
      <c r="E76" t="s">
        <v>80</v>
      </c>
      <c r="F76">
        <v>4527</v>
      </c>
      <c r="G76">
        <v>0</v>
      </c>
      <c r="H76">
        <v>-434</v>
      </c>
      <c r="I76">
        <v>403</v>
      </c>
      <c r="J76">
        <v>4496</v>
      </c>
      <c r="K76">
        <v>1</v>
      </c>
    </row>
    <row r="77" spans="1:11" x14ac:dyDescent="0.8">
      <c r="A77" s="10"/>
    </row>
    <row r="78" spans="1:11" ht="79.5" x14ac:dyDescent="0.8">
      <c r="F78" s="21" t="s">
        <v>77</v>
      </c>
      <c r="G78" s="21" t="s">
        <v>74</v>
      </c>
      <c r="H78" s="21" t="s">
        <v>75</v>
      </c>
      <c r="I78" s="21" t="s">
        <v>76</v>
      </c>
    </row>
    <row r="79" spans="1:11" x14ac:dyDescent="0.8">
      <c r="F79">
        <f>ROUND(SUM(F2:F76)/1.1,0)</f>
        <v>270701</v>
      </c>
      <c r="G79">
        <f>ROUND(SUM(G2:G76)/1.1,0)</f>
        <v>-2335</v>
      </c>
      <c r="H79">
        <f>ROUND(SUM(H2:H76)/1.1,0)</f>
        <v>-136269</v>
      </c>
      <c r="I79">
        <f>ROUND(SUM(I2:I76)/1.1,0)</f>
        <v>25157</v>
      </c>
      <c r="J79">
        <f>ROUND(SUM(J2:J76)/1.1,0)</f>
        <v>157254</v>
      </c>
      <c r="K79">
        <f>SUM(K2:K78)</f>
        <v>68</v>
      </c>
    </row>
    <row r="80" spans="1:11" x14ac:dyDescent="0.8">
      <c r="F80" t="s">
        <v>62</v>
      </c>
      <c r="G80" t="s">
        <v>62</v>
      </c>
      <c r="H80" t="s">
        <v>62</v>
      </c>
      <c r="I80" t="s">
        <v>62</v>
      </c>
      <c r="J80" t="s">
        <v>62</v>
      </c>
    </row>
    <row r="81" spans="7:8" x14ac:dyDescent="0.8">
      <c r="G81" t="s">
        <v>71</v>
      </c>
      <c r="H81">
        <v>-5390</v>
      </c>
    </row>
    <row r="82" spans="7:8" x14ac:dyDescent="0.8">
      <c r="G82" t="s">
        <v>172</v>
      </c>
      <c r="H82">
        <v>-85762</v>
      </c>
    </row>
    <row r="83" spans="7:8" x14ac:dyDescent="0.8">
      <c r="G83" t="s">
        <v>72</v>
      </c>
      <c r="H83">
        <v>-17600</v>
      </c>
    </row>
    <row r="84" spans="7:8" ht="79.5" x14ac:dyDescent="0.8">
      <c r="G84" s="21" t="s">
        <v>173</v>
      </c>
      <c r="H84">
        <f>ROUND(SUM(H81:H83)/1.1,0)</f>
        <v>-98865</v>
      </c>
    </row>
    <row r="85" spans="7:8" x14ac:dyDescent="0.8">
      <c r="G85" t="s">
        <v>73</v>
      </c>
      <c r="H85">
        <f>H79-H84</f>
        <v>-37404</v>
      </c>
    </row>
  </sheetData>
  <autoFilter ref="A1:K80" xr:uid="{B4D9AF07-50AC-7F44-B074-C4820E76FF34}"/>
  <sortState xmlns:xlrd2="http://schemas.microsoft.com/office/spreadsheetml/2017/richdata2" ref="A54:K57">
    <sortCondition ref="D54:D57"/>
  </sortState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8339-C97C-CC4F-9282-8DF7AA38CD35}">
  <dimension ref="A1:K8"/>
  <sheetViews>
    <sheetView workbookViewId="0">
      <selection activeCell="I9" sqref="I9"/>
    </sheetView>
  </sheetViews>
  <sheetFormatPr defaultColWidth="10.6640625" defaultRowHeight="19.899999999999999" x14ac:dyDescent="0.8"/>
  <cols>
    <col min="5" max="5" width="59.44140625" bestFit="1" customWidth="1"/>
  </cols>
  <sheetData>
    <row r="1" spans="1:11" x14ac:dyDescent="0.8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s="18" t="s">
        <v>59</v>
      </c>
    </row>
    <row r="2" spans="1:11" x14ac:dyDescent="0.8">
      <c r="A2" s="10">
        <v>45961</v>
      </c>
      <c r="B2" t="s">
        <v>61</v>
      </c>
      <c r="C2" t="s">
        <v>42</v>
      </c>
      <c r="D2" t="s">
        <v>103</v>
      </c>
      <c r="E2" t="s">
        <v>80</v>
      </c>
      <c r="F2">
        <v>4042</v>
      </c>
      <c r="G2">
        <v>0</v>
      </c>
      <c r="H2">
        <v>-1160</v>
      </c>
      <c r="I2">
        <v>360</v>
      </c>
      <c r="J2">
        <v>3242</v>
      </c>
      <c r="K2" t="e">
        <f>VLOOKUP(D2,Amazon詳細!D:D,1,0)</f>
        <v>#N/A</v>
      </c>
    </row>
    <row r="3" spans="1:11" x14ac:dyDescent="0.8">
      <c r="A3" s="10">
        <v>45960</v>
      </c>
      <c r="B3" t="s">
        <v>61</v>
      </c>
      <c r="C3" t="s">
        <v>42</v>
      </c>
      <c r="D3" t="s">
        <v>104</v>
      </c>
      <c r="E3" t="s">
        <v>80</v>
      </c>
      <c r="F3">
        <v>4042</v>
      </c>
      <c r="G3">
        <v>0</v>
      </c>
      <c r="H3">
        <v>-1160</v>
      </c>
      <c r="I3">
        <v>360</v>
      </c>
      <c r="J3">
        <v>3242</v>
      </c>
      <c r="K3" t="e">
        <f>VLOOKUP(D3,Amazon詳細!D:D,1,0)</f>
        <v>#N/A</v>
      </c>
    </row>
    <row r="4" spans="1:11" x14ac:dyDescent="0.8">
      <c r="A4" s="10">
        <v>45959</v>
      </c>
      <c r="B4" t="s">
        <v>61</v>
      </c>
      <c r="C4" t="s">
        <v>42</v>
      </c>
      <c r="D4" t="s">
        <v>109</v>
      </c>
      <c r="E4" t="s">
        <v>80</v>
      </c>
      <c r="F4">
        <v>12125</v>
      </c>
      <c r="G4">
        <v>0</v>
      </c>
      <c r="H4">
        <v>-3480</v>
      </c>
      <c r="I4">
        <v>1081</v>
      </c>
      <c r="J4">
        <v>9726</v>
      </c>
      <c r="K4" t="e">
        <f>VLOOKUP(D4,Amazon詳細!D:D,1,0)</f>
        <v>#N/A</v>
      </c>
    </row>
    <row r="5" spans="1:11" x14ac:dyDescent="0.8">
      <c r="A5" s="10">
        <v>45959</v>
      </c>
      <c r="B5" t="s">
        <v>61</v>
      </c>
      <c r="C5" t="s">
        <v>42</v>
      </c>
      <c r="D5" t="s">
        <v>110</v>
      </c>
      <c r="E5" t="s">
        <v>80</v>
      </c>
      <c r="F5">
        <v>4893</v>
      </c>
      <c r="G5">
        <v>0</v>
      </c>
      <c r="H5">
        <v>-1334</v>
      </c>
      <c r="I5">
        <v>435</v>
      </c>
      <c r="J5">
        <v>3994</v>
      </c>
      <c r="K5" t="e">
        <f>VLOOKUP(D5,Amazon詳細!D:D,1,0)</f>
        <v>#N/A</v>
      </c>
    </row>
    <row r="6" spans="1:11" x14ac:dyDescent="0.8">
      <c r="A6" s="10">
        <v>45958</v>
      </c>
      <c r="B6" t="s">
        <v>61</v>
      </c>
      <c r="C6" t="s">
        <v>42</v>
      </c>
      <c r="D6" t="s">
        <v>111</v>
      </c>
      <c r="E6" t="s">
        <v>80</v>
      </c>
      <c r="F6">
        <v>4042</v>
      </c>
      <c r="G6">
        <v>0</v>
      </c>
      <c r="H6">
        <v>-1160</v>
      </c>
      <c r="I6">
        <v>360</v>
      </c>
      <c r="J6">
        <v>3242</v>
      </c>
      <c r="K6" t="e">
        <f>VLOOKUP(D6,Amazon詳細!D:D,1,0)</f>
        <v>#N/A</v>
      </c>
    </row>
    <row r="7" spans="1:11" x14ac:dyDescent="0.8">
      <c r="A7" s="10">
        <v>45957</v>
      </c>
      <c r="B7" t="s">
        <v>61</v>
      </c>
      <c r="C7" t="s">
        <v>42</v>
      </c>
      <c r="D7" t="s">
        <v>113</v>
      </c>
      <c r="E7" t="s">
        <v>80</v>
      </c>
      <c r="F7">
        <v>4527</v>
      </c>
      <c r="G7">
        <v>0</v>
      </c>
      <c r="H7">
        <v>-1248</v>
      </c>
      <c r="I7">
        <v>403</v>
      </c>
      <c r="J7">
        <v>3682</v>
      </c>
      <c r="K7" t="e">
        <f>VLOOKUP(D7,Amazon詳細!D:D,1,0)</f>
        <v>#N/A</v>
      </c>
    </row>
    <row r="8" spans="1:11" x14ac:dyDescent="0.8">
      <c r="A8" s="10">
        <v>45957</v>
      </c>
      <c r="B8" t="s">
        <v>61</v>
      </c>
      <c r="C8" t="s">
        <v>42</v>
      </c>
      <c r="D8" t="s">
        <v>114</v>
      </c>
      <c r="E8" t="s">
        <v>80</v>
      </c>
      <c r="F8">
        <v>4042</v>
      </c>
      <c r="G8">
        <v>0</v>
      </c>
      <c r="H8">
        <v>-1160</v>
      </c>
      <c r="I8">
        <v>360</v>
      </c>
      <c r="J8">
        <v>3242</v>
      </c>
      <c r="K8" t="e">
        <f>VLOOKUP(D8,Amazon詳細!D:D,1,0)</f>
        <v>#N/A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AD5E-6A94-E348-B880-17E0F68A0252}">
  <dimension ref="A1:M17"/>
  <sheetViews>
    <sheetView workbookViewId="0">
      <selection activeCell="I24" sqref="I24"/>
    </sheetView>
  </sheetViews>
  <sheetFormatPr defaultColWidth="10.6640625" defaultRowHeight="19.899999999999999" x14ac:dyDescent="0.8"/>
  <cols>
    <col min="13" max="13" width="10.71875" style="9"/>
  </cols>
  <sheetData>
    <row r="1" spans="1:13" x14ac:dyDescent="0.8">
      <c r="A1" t="s">
        <v>31</v>
      </c>
      <c r="B1" t="s">
        <v>30</v>
      </c>
      <c r="C1" t="s">
        <v>29</v>
      </c>
      <c r="D1" t="s">
        <v>28</v>
      </c>
      <c r="E1" t="s">
        <v>27</v>
      </c>
      <c r="F1" t="s">
        <v>26</v>
      </c>
      <c r="G1" t="s">
        <v>25</v>
      </c>
      <c r="H1" t="s">
        <v>24</v>
      </c>
      <c r="I1" t="s">
        <v>23</v>
      </c>
      <c r="J1" t="s">
        <v>22</v>
      </c>
      <c r="K1" t="s">
        <v>21</v>
      </c>
      <c r="L1" t="s">
        <v>20</v>
      </c>
      <c r="M1" s="9" t="s">
        <v>19</v>
      </c>
    </row>
    <row r="2" spans="1:13" x14ac:dyDescent="0.8">
      <c r="A2" s="10">
        <v>45681</v>
      </c>
      <c r="B2" t="s">
        <v>18</v>
      </c>
      <c r="C2">
        <v>55220</v>
      </c>
      <c r="D2">
        <v>0</v>
      </c>
      <c r="E2">
        <v>0</v>
      </c>
      <c r="F2">
        <v>0</v>
      </c>
      <c r="G2">
        <v>0</v>
      </c>
      <c r="H2">
        <v>0</v>
      </c>
      <c r="I2">
        <v>1993</v>
      </c>
      <c r="J2">
        <v>0</v>
      </c>
      <c r="K2">
        <v>53227</v>
      </c>
      <c r="L2" t="s">
        <v>17</v>
      </c>
      <c r="M2" s="9">
        <f t="shared" ref="M2:M17" si="0">I2/K2</f>
        <v>3.7443402784301201E-2</v>
      </c>
    </row>
    <row r="3" spans="1:13" x14ac:dyDescent="0.8">
      <c r="A3" s="10">
        <v>45674</v>
      </c>
      <c r="B3" t="s">
        <v>18</v>
      </c>
      <c r="C3">
        <v>15180</v>
      </c>
      <c r="D3">
        <v>0</v>
      </c>
      <c r="E3">
        <v>0</v>
      </c>
      <c r="F3">
        <v>0</v>
      </c>
      <c r="G3">
        <v>0</v>
      </c>
      <c r="H3">
        <v>0</v>
      </c>
      <c r="I3">
        <v>540</v>
      </c>
      <c r="J3">
        <v>0</v>
      </c>
      <c r="K3">
        <v>14640</v>
      </c>
      <c r="L3" t="s">
        <v>17</v>
      </c>
      <c r="M3" s="9">
        <f t="shared" si="0"/>
        <v>3.6885245901639344E-2</v>
      </c>
    </row>
    <row r="4" spans="1:13" x14ac:dyDescent="0.8">
      <c r="A4" s="10">
        <v>45667</v>
      </c>
      <c r="B4" t="s">
        <v>18</v>
      </c>
      <c r="C4">
        <v>55220</v>
      </c>
      <c r="D4">
        <v>0</v>
      </c>
      <c r="E4">
        <v>0</v>
      </c>
      <c r="F4">
        <v>0</v>
      </c>
      <c r="G4">
        <v>0</v>
      </c>
      <c r="H4">
        <v>0</v>
      </c>
      <c r="I4">
        <v>1962</v>
      </c>
      <c r="J4">
        <v>0</v>
      </c>
      <c r="K4">
        <v>53258</v>
      </c>
      <c r="L4" t="s">
        <v>17</v>
      </c>
      <c r="M4" s="9">
        <f t="shared" si="0"/>
        <v>3.683953584438019E-2</v>
      </c>
    </row>
    <row r="5" spans="1:13" x14ac:dyDescent="0.8">
      <c r="A5" s="10">
        <v>45663</v>
      </c>
      <c r="B5" t="s">
        <v>18</v>
      </c>
      <c r="C5">
        <v>50820</v>
      </c>
      <c r="D5">
        <v>0</v>
      </c>
      <c r="E5">
        <v>0</v>
      </c>
      <c r="F5">
        <v>0</v>
      </c>
      <c r="G5">
        <v>0</v>
      </c>
      <c r="H5">
        <v>0</v>
      </c>
      <c r="I5">
        <v>1805</v>
      </c>
      <c r="J5">
        <v>0</v>
      </c>
      <c r="K5">
        <v>49015</v>
      </c>
      <c r="L5" t="s">
        <v>17</v>
      </c>
      <c r="M5" s="9">
        <f t="shared" si="0"/>
        <v>3.6825461593389779E-2</v>
      </c>
    </row>
    <row r="6" spans="1:13" x14ac:dyDescent="0.8">
      <c r="A6" s="10">
        <v>45653</v>
      </c>
      <c r="B6" t="s">
        <v>18</v>
      </c>
      <c r="C6">
        <v>91300</v>
      </c>
      <c r="D6">
        <v>0</v>
      </c>
      <c r="E6">
        <v>0</v>
      </c>
      <c r="F6">
        <v>0</v>
      </c>
      <c r="G6">
        <v>0</v>
      </c>
      <c r="H6">
        <v>0</v>
      </c>
      <c r="I6">
        <v>3273</v>
      </c>
      <c r="J6">
        <v>0</v>
      </c>
      <c r="K6">
        <v>88027</v>
      </c>
      <c r="L6" t="s">
        <v>17</v>
      </c>
      <c r="M6" s="9">
        <f t="shared" si="0"/>
        <v>3.718177377395572E-2</v>
      </c>
    </row>
    <row r="7" spans="1:13" x14ac:dyDescent="0.8">
      <c r="A7" s="10">
        <v>45646</v>
      </c>
      <c r="B7" t="s">
        <v>18</v>
      </c>
      <c r="C7">
        <v>52360</v>
      </c>
      <c r="D7">
        <v>0</v>
      </c>
      <c r="E7">
        <v>0</v>
      </c>
      <c r="F7">
        <v>0</v>
      </c>
      <c r="G7">
        <v>0</v>
      </c>
      <c r="H7">
        <v>0</v>
      </c>
      <c r="I7">
        <v>1909</v>
      </c>
      <c r="J7">
        <v>0</v>
      </c>
      <c r="K7">
        <v>50451</v>
      </c>
      <c r="L7" t="s">
        <v>17</v>
      </c>
      <c r="M7" s="9">
        <f t="shared" si="0"/>
        <v>3.7838694971358347E-2</v>
      </c>
    </row>
    <row r="8" spans="1:13" x14ac:dyDescent="0.8">
      <c r="A8" s="10">
        <v>45639</v>
      </c>
      <c r="B8" t="s">
        <v>18</v>
      </c>
      <c r="C8">
        <v>39380</v>
      </c>
      <c r="D8">
        <v>0</v>
      </c>
      <c r="E8">
        <v>0</v>
      </c>
      <c r="F8">
        <v>0</v>
      </c>
      <c r="G8">
        <v>0</v>
      </c>
      <c r="H8">
        <v>0</v>
      </c>
      <c r="I8">
        <v>1400</v>
      </c>
      <c r="J8">
        <v>0</v>
      </c>
      <c r="K8">
        <v>37980</v>
      </c>
      <c r="L8" t="s">
        <v>17</v>
      </c>
      <c r="M8" s="9">
        <f t="shared" si="0"/>
        <v>3.6861506055818852E-2</v>
      </c>
    </row>
    <row r="9" spans="1:13" x14ac:dyDescent="0.8">
      <c r="A9" s="10">
        <v>45632</v>
      </c>
      <c r="B9" t="s">
        <v>18</v>
      </c>
      <c r="C9">
        <v>28160</v>
      </c>
      <c r="D9">
        <v>0</v>
      </c>
      <c r="E9">
        <v>0</v>
      </c>
      <c r="F9">
        <v>0</v>
      </c>
      <c r="G9">
        <v>0</v>
      </c>
      <c r="H9">
        <v>0</v>
      </c>
      <c r="I9">
        <v>1000</v>
      </c>
      <c r="J9">
        <v>0</v>
      </c>
      <c r="K9">
        <v>27160</v>
      </c>
      <c r="L9" t="s">
        <v>17</v>
      </c>
      <c r="M9" s="9">
        <f t="shared" si="0"/>
        <v>3.6818851251840944E-2</v>
      </c>
    </row>
    <row r="10" spans="1:13" x14ac:dyDescent="0.8">
      <c r="A10" s="10">
        <v>45625</v>
      </c>
      <c r="B10" t="s">
        <v>18</v>
      </c>
      <c r="C10">
        <v>32120</v>
      </c>
      <c r="D10">
        <v>0</v>
      </c>
      <c r="E10">
        <v>0</v>
      </c>
      <c r="F10">
        <v>0</v>
      </c>
      <c r="G10">
        <v>0</v>
      </c>
      <c r="H10">
        <v>0</v>
      </c>
      <c r="I10">
        <v>1141</v>
      </c>
      <c r="J10">
        <v>0</v>
      </c>
      <c r="K10">
        <v>30979</v>
      </c>
      <c r="L10" t="s">
        <v>17</v>
      </c>
      <c r="M10" s="9">
        <f t="shared" si="0"/>
        <v>3.6831401917427932E-2</v>
      </c>
    </row>
    <row r="11" spans="1:13" x14ac:dyDescent="0.8">
      <c r="A11" s="10">
        <v>45618</v>
      </c>
      <c r="B11" t="s">
        <v>18</v>
      </c>
      <c r="C11">
        <v>37180</v>
      </c>
      <c r="D11">
        <v>0</v>
      </c>
      <c r="E11">
        <v>0</v>
      </c>
      <c r="F11">
        <v>0</v>
      </c>
      <c r="G11">
        <v>0</v>
      </c>
      <c r="H11">
        <v>0</v>
      </c>
      <c r="I11">
        <v>1321</v>
      </c>
      <c r="J11">
        <v>0</v>
      </c>
      <c r="K11">
        <v>35859</v>
      </c>
      <c r="L11" t="s">
        <v>17</v>
      </c>
      <c r="M11" s="9">
        <f t="shared" si="0"/>
        <v>3.6838729468194872E-2</v>
      </c>
    </row>
    <row r="12" spans="1:13" x14ac:dyDescent="0.8">
      <c r="A12" s="10">
        <v>45611</v>
      </c>
      <c r="B12" t="s">
        <v>18</v>
      </c>
      <c r="C12">
        <v>61380</v>
      </c>
      <c r="D12">
        <v>0</v>
      </c>
      <c r="E12">
        <v>0</v>
      </c>
      <c r="F12">
        <v>0</v>
      </c>
      <c r="G12">
        <v>0</v>
      </c>
      <c r="H12">
        <v>0</v>
      </c>
      <c r="I12">
        <v>2244</v>
      </c>
      <c r="J12">
        <v>0</v>
      </c>
      <c r="K12">
        <v>59136</v>
      </c>
      <c r="L12" t="s">
        <v>17</v>
      </c>
      <c r="M12" s="9">
        <f t="shared" si="0"/>
        <v>3.7946428571428568E-2</v>
      </c>
    </row>
    <row r="13" spans="1:13" x14ac:dyDescent="0.8">
      <c r="A13" s="10">
        <v>45604</v>
      </c>
      <c r="B13" t="s">
        <v>18</v>
      </c>
      <c r="C13">
        <v>15180</v>
      </c>
      <c r="D13">
        <v>0</v>
      </c>
      <c r="E13">
        <v>0</v>
      </c>
      <c r="F13">
        <v>0</v>
      </c>
      <c r="G13">
        <v>0</v>
      </c>
      <c r="H13">
        <v>0</v>
      </c>
      <c r="I13">
        <v>540</v>
      </c>
      <c r="J13">
        <v>0</v>
      </c>
      <c r="K13">
        <v>14640</v>
      </c>
      <c r="L13" t="s">
        <v>17</v>
      </c>
      <c r="M13" s="9">
        <f t="shared" si="0"/>
        <v>3.6885245901639344E-2</v>
      </c>
    </row>
    <row r="14" spans="1:13" x14ac:dyDescent="0.8">
      <c r="A14" s="10">
        <v>45597</v>
      </c>
      <c r="B14" t="s">
        <v>18</v>
      </c>
      <c r="C14">
        <v>146960</v>
      </c>
      <c r="D14">
        <v>0</v>
      </c>
      <c r="E14">
        <v>0</v>
      </c>
      <c r="F14">
        <v>0</v>
      </c>
      <c r="G14">
        <v>0</v>
      </c>
      <c r="H14">
        <v>0</v>
      </c>
      <c r="I14">
        <v>5256</v>
      </c>
      <c r="J14">
        <v>0</v>
      </c>
      <c r="K14">
        <v>141704</v>
      </c>
      <c r="L14" t="s">
        <v>17</v>
      </c>
      <c r="M14" s="9">
        <f t="shared" si="0"/>
        <v>3.7091401795291593E-2</v>
      </c>
    </row>
    <row r="15" spans="1:13" x14ac:dyDescent="0.8">
      <c r="A15" s="10">
        <v>45590</v>
      </c>
      <c r="B15" t="s">
        <v>18</v>
      </c>
      <c r="C15">
        <v>59180</v>
      </c>
      <c r="D15">
        <v>0</v>
      </c>
      <c r="E15">
        <v>0</v>
      </c>
      <c r="F15">
        <v>0</v>
      </c>
      <c r="G15">
        <v>0</v>
      </c>
      <c r="H15">
        <v>0</v>
      </c>
      <c r="I15">
        <v>2101</v>
      </c>
      <c r="J15">
        <v>0</v>
      </c>
      <c r="K15">
        <v>57079</v>
      </c>
      <c r="L15" t="s">
        <v>17</v>
      </c>
      <c r="M15" s="9">
        <f t="shared" si="0"/>
        <v>3.6808633648101753E-2</v>
      </c>
    </row>
    <row r="16" spans="1:13" x14ac:dyDescent="0.8">
      <c r="A16" s="10">
        <v>45576</v>
      </c>
      <c r="B16" t="s">
        <v>18</v>
      </c>
      <c r="C16">
        <v>254320</v>
      </c>
      <c r="D16">
        <v>0</v>
      </c>
      <c r="E16">
        <v>0</v>
      </c>
      <c r="F16">
        <v>0</v>
      </c>
      <c r="G16">
        <v>0</v>
      </c>
      <c r="H16">
        <v>0</v>
      </c>
      <c r="I16">
        <v>9246</v>
      </c>
      <c r="J16">
        <v>0</v>
      </c>
      <c r="K16">
        <v>245074</v>
      </c>
      <c r="L16" t="s">
        <v>17</v>
      </c>
      <c r="M16" s="9">
        <f t="shared" si="0"/>
        <v>3.7727380301459966E-2</v>
      </c>
    </row>
    <row r="17" spans="1:13" x14ac:dyDescent="0.8">
      <c r="A17" t="s">
        <v>16</v>
      </c>
      <c r="I17">
        <f>SUM(I2:I16)</f>
        <v>35731</v>
      </c>
      <c r="K17">
        <f>SUM(K2:K16)</f>
        <v>958229</v>
      </c>
      <c r="M17" s="9">
        <f t="shared" si="0"/>
        <v>3.7288581330767491E-2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レヴェニューシェア資料</vt:lpstr>
      <vt:lpstr>Amazon詳細</vt:lpstr>
      <vt:lpstr>留保中11月請求時確認</vt:lpstr>
      <vt:lpstr>shopify手数料試算</vt:lpstr>
      <vt:lpstr>レヴェニューシェア資料!Print_Area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一人 松窪</dc:creator>
  <cp:lastModifiedBy>浩晃 原</cp:lastModifiedBy>
  <cp:lastPrinted>2025-11-04T02:18:05Z</cp:lastPrinted>
  <dcterms:created xsi:type="dcterms:W3CDTF">2025-01-24T08:40:17Z</dcterms:created>
  <dcterms:modified xsi:type="dcterms:W3CDTF">2026-03-25T01:41:48Z</dcterms:modified>
</cp:coreProperties>
</file>