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レベシェア実績/"/>
    </mc:Choice>
  </mc:AlternateContent>
  <xr:revisionPtr revIDLastSave="0" documentId="8_{9CE77D48-1D5B-49EA-B80A-518C9773CE7B}" xr6:coauthVersionLast="47" xr6:coauthVersionMax="47" xr10:uidLastSave="{00000000-0000-0000-0000-000000000000}"/>
  <bookViews>
    <workbookView xWindow="1598" yWindow="930" windowWidth="16567" windowHeight="13403" xr2:uid="{9516FBB4-3A9B-6D45-85D3-EE0B367FE07A}"/>
  </bookViews>
  <sheets>
    <sheet name="レヴェニューシェア資料" sheetId="2" r:id="rId1"/>
    <sheet name="Amazon詳細" sheetId="5" r:id="rId2"/>
    <sheet name="留保中10月請求時確認" sheetId="6" r:id="rId3"/>
    <sheet name="shopify手数料試算" sheetId="3" r:id="rId4"/>
  </sheets>
  <definedNames>
    <definedName name="_xlnm._FilterDatabase" localSheetId="1" hidden="1">Amazon詳細!$A$1:$K$67</definedName>
    <definedName name="payment_transactions_export_1__2" localSheetId="3">shopify手数料試算!#REF!</definedName>
    <definedName name="_xlnm.Print_Area" localSheetId="0">レヴェニューシェア資料!$A$1:$E$52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2" l="1"/>
  <c r="D29" i="2"/>
  <c r="D28" i="2"/>
  <c r="D31" i="2" l="1"/>
  <c r="B47" i="2" s="1"/>
  <c r="D25" i="2"/>
  <c r="K66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5" i="5"/>
  <c r="K46" i="5"/>
  <c r="K47" i="5"/>
  <c r="K48" i="5"/>
  <c r="K49" i="5"/>
  <c r="K51" i="5"/>
  <c r="K52" i="5"/>
  <c r="K53" i="5"/>
  <c r="K54" i="5"/>
  <c r="K55" i="5"/>
  <c r="K56" i="5"/>
  <c r="K57" i="5"/>
  <c r="K58" i="5"/>
  <c r="K59" i="5"/>
  <c r="K61" i="5"/>
  <c r="K62" i="5"/>
  <c r="K63" i="5"/>
  <c r="K64" i="5"/>
  <c r="K2" i="5"/>
  <c r="H69" i="5"/>
  <c r="H66" i="5"/>
  <c r="D15" i="2" l="1"/>
  <c r="D14" i="2"/>
  <c r="H70" i="5" l="1"/>
  <c r="F66" i="5"/>
  <c r="H71" i="5"/>
  <c r="J66" i="5"/>
  <c r="I66" i="5"/>
  <c r="G66" i="5"/>
  <c r="C35" i="2"/>
  <c r="D35" i="2" s="1"/>
  <c r="C17" i="2"/>
  <c r="B10" i="2"/>
  <c r="G6" i="2"/>
  <c r="H6" i="2" s="1"/>
  <c r="G5" i="2"/>
  <c r="H5" i="2" s="1"/>
  <c r="G4" i="2"/>
  <c r="H4" i="2" s="1"/>
  <c r="G3" i="2"/>
  <c r="H3" i="2" s="1"/>
  <c r="C7" i="2"/>
  <c r="C37" i="2" s="1"/>
  <c r="B6" i="2"/>
  <c r="D6" i="2" s="1"/>
  <c r="B5" i="2"/>
  <c r="D5" i="2" s="1"/>
  <c r="B4" i="2"/>
  <c r="D4" i="2" s="1"/>
  <c r="B3" i="2"/>
  <c r="D3" i="2" s="1"/>
  <c r="B11" i="2"/>
  <c r="C39" i="2" l="1"/>
  <c r="C38" i="2"/>
  <c r="C36" i="2"/>
  <c r="H7" i="2"/>
  <c r="D7" i="2"/>
  <c r="D40" i="2" s="1"/>
  <c r="D37" i="2" l="1"/>
  <c r="B37" i="2" s="1"/>
  <c r="D16" i="2"/>
  <c r="D13" i="2"/>
  <c r="B46" i="2" l="1"/>
  <c r="B20" i="2"/>
  <c r="D36" i="2" l="1"/>
  <c r="D12" i="2"/>
  <c r="D17" i="2" s="1"/>
  <c r="I17" i="3" l="1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39" i="2"/>
  <c r="B44" i="2" l="1"/>
  <c r="D38" i="2"/>
  <c r="D39" i="2"/>
  <c r="D41" i="2" l="1"/>
  <c r="B45" i="2" s="1"/>
  <c r="B48" i="2" s="1"/>
  <c r="B49" i="2" l="1"/>
  <c r="B50" i="2" l="1"/>
</calcChain>
</file>

<file path=xl/sharedStrings.xml><?xml version="1.0" encoding="utf-8"?>
<sst xmlns="http://schemas.openxmlformats.org/spreadsheetml/2006/main" count="438" uniqueCount="164">
  <si>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</si>
  <si>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</si>
  <si>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</si>
  <si>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</si>
  <si>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</si>
  <si>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</si>
  <si>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</si>
  <si>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</si>
  <si>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</si>
  <si>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</si>
  <si>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</si>
  <si>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</si>
  <si>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</si>
  <si>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</si>
  <si>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</si>
  <si>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</si>
  <si>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</si>
  <si>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</si>
  <si>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</si>
  <si>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</si>
  <si>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</si>
  <si>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</si>
  <si>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</si>
  <si>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</si>
  <si>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</si>
  <si>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</si>
  <si>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</si>
  <si>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</si>
  <si>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</si>
  <si>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</si>
  <si>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</si>
  <si>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</si>
  <si>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</si>
  <si>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</si>
  <si>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</si>
  <si>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</si>
  <si>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</si>
  <si>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</si>
  <si>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</si>
  <si>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</si>
  <si>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</si>
  <si>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</si>
  <si>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</si>
  <si>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</si>
  <si>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</si>
  <si>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</si>
  <si>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</si>
  <si>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</si>
  <si>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</si>
  <si>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</si>
  <si>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</si>
  <si>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</si>
  <si>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</si>
  <si>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SHUWAN 正規品 公式 日本酒グラス, 酒器,270ml, 磁器,食洗機対応...</t>
  </si>
  <si>
    <t>サービス料金</t>
  </si>
  <si>
    <t>---</t>
  </si>
  <si>
    <t>広告費用</t>
  </si>
  <si>
    <t>月額登録料：</t>
  </si>
  <si>
    <t>その他費用</t>
    <phoneticPr fontId="1"/>
  </si>
  <si>
    <t>広告費用/月額登録料</t>
    <phoneticPr fontId="1"/>
  </si>
  <si>
    <t>SHUWAN箱あり</t>
    <rPh sb="6" eb="7">
      <t xml:space="preserve">ハコアリ </t>
    </rPh>
    <phoneticPr fontId="1"/>
  </si>
  <si>
    <t>販売数量</t>
    <rPh sb="0" eb="2">
      <t xml:space="preserve">ハンバイ </t>
    </rPh>
    <rPh sb="2" eb="4">
      <t xml:space="preserve">スウリョウ </t>
    </rPh>
    <phoneticPr fontId="5"/>
  </si>
  <si>
    <t>FBA保管手数料：</t>
  </si>
  <si>
    <t>留保中</t>
  </si>
  <si>
    <t>(税抜)</t>
    <phoneticPr fontId="1"/>
  </si>
  <si>
    <t>オンラインショップ SHUWAN</t>
    <rPh sb="0" eb="2">
      <t>オンラインショップ</t>
    </rPh>
    <phoneticPr fontId="1"/>
  </si>
  <si>
    <t>オンラインショップ 桐箱2碗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</si>
  <si>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桐箱1碗</t>
    <rPh sb="0" eb="2">
      <t>オンラインショップ</t>
    </rPh>
    <rPh sb="10" eb="12">
      <t xml:space="preserve">キリバコ </t>
    </rPh>
    <rPh sb="13" eb="14">
      <t xml:space="preserve">ワン </t>
    </rPh>
    <phoneticPr fontId="1"/>
  </si>
  <si>
    <t>オンラインショップ 紙袋2碗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</si>
  <si>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オンラインショップ 紙袋1碗</t>
    <rPh sb="0" eb="2">
      <t>オンラインショップ</t>
    </rPh>
    <rPh sb="10" eb="12">
      <t xml:space="preserve">カミブクロ </t>
    </rPh>
    <rPh sb="13" eb="14">
      <t xml:space="preserve">ワン </t>
    </rPh>
    <phoneticPr fontId="1"/>
  </si>
  <si>
    <t>桐箱&amp;紙袋 原価</t>
    <rPh sb="0" eb="2">
      <t xml:space="preserve">キリバコ </t>
    </rPh>
    <rPh sb="3" eb="5">
      <t xml:space="preserve">カミブクロ </t>
    </rPh>
    <phoneticPr fontId="1"/>
  </si>
  <si>
    <t>原価</t>
    <rPh sb="0" eb="2">
      <t xml:space="preserve">ゲンカ </t>
    </rPh>
    <phoneticPr fontId="1"/>
  </si>
  <si>
    <t>オンラインショップ みむろ杉</t>
    <rPh sb="0" eb="2">
      <t>オンラインショップ</t>
    </rPh>
    <phoneticPr fontId="1"/>
  </si>
  <si>
    <t>SHUWAN原価(みむろ杉)</t>
    <phoneticPr fontId="1"/>
  </si>
  <si>
    <t>249-4815990-0166212</t>
  </si>
  <si>
    <t>SHUWAN 正規品 公式 日テレ ゲンバ TV放映 かまいたち,日本酒グラス,...</t>
  </si>
  <si>
    <t>503-8211194-9488641</t>
  </si>
  <si>
    <t>249-0079293-7837408</t>
  </si>
  <si>
    <t>249-6571787-5798228</t>
  </si>
  <si>
    <t>249-6314900-0853469</t>
  </si>
  <si>
    <t>250-2959390-3239811</t>
  </si>
  <si>
    <t>503-0505674-0147006</t>
  </si>
  <si>
    <t>503-3703825-8979010</t>
  </si>
  <si>
    <t>250-9252822-8759038</t>
  </si>
  <si>
    <t>250-1028526-4183045</t>
  </si>
  <si>
    <t>250-9778779-8781407</t>
  </si>
  <si>
    <t>月額登録料(税込)</t>
    <rPh sb="6" eb="8">
      <t xml:space="preserve">ゼイコミ </t>
    </rPh>
    <phoneticPr fontId="1"/>
  </si>
  <si>
    <t>広告費用(税込)</t>
    <phoneticPr fontId="1"/>
  </si>
  <si>
    <t>月額登録料
広告費用
(税抜)</t>
    <phoneticPr fontId="1"/>
  </si>
  <si>
    <t>アマゾン手数料 (税抜)</t>
    <rPh sb="4" eb="7">
      <t xml:space="preserve">テスウリョウ </t>
    </rPh>
    <rPh sb="9" eb="11">
      <t xml:space="preserve">ゼイヌキ </t>
    </rPh>
    <phoneticPr fontId="1"/>
  </si>
  <si>
    <t>プロモーション割引
税込合計(税抜)</t>
    <rPh sb="10" eb="12">
      <t xml:space="preserve">ゼイコミ </t>
    </rPh>
    <phoneticPr fontId="1"/>
  </si>
  <si>
    <t>Amazon手数料
月額登録料
広告費用
(税抜)</t>
    <phoneticPr fontId="1"/>
  </si>
  <si>
    <t>その他
(税抜)</t>
    <phoneticPr fontId="1"/>
  </si>
  <si>
    <t>販売金額
税込合計
(税抜)</t>
    <rPh sb="0" eb="4">
      <t xml:space="preserve">ハンバイキンガク </t>
    </rPh>
    <rPh sb="4" eb="6">
      <t xml:space="preserve">ゼイコミ </t>
    </rPh>
    <rPh sb="6" eb="8">
      <t xml:space="preserve">ゴウケイ </t>
    </rPh>
    <phoneticPr fontId="1"/>
  </si>
  <si>
    <t>その他+ 保管料</t>
    <rPh sb="5" eb="8">
      <t xml:space="preserve">ホカンリョウ </t>
    </rPh>
    <phoneticPr fontId="1"/>
  </si>
  <si>
    <t>SHUWAN箱なし</t>
    <rPh sb="6" eb="7">
      <t xml:space="preserve">ハコアリ </t>
    </rPh>
    <phoneticPr fontId="1"/>
  </si>
  <si>
    <t>sou</t>
    <phoneticPr fontId="1"/>
  </si>
  <si>
    <t>上野猩々</t>
    <phoneticPr fontId="1"/>
  </si>
  <si>
    <t>力丸酒店</t>
    <phoneticPr fontId="1"/>
  </si>
  <si>
    <t>エルスタイル90
力丸酒店30
酒泉洞掘一30
Local Design 30</t>
    <rPh sb="9" eb="13">
      <t xml:space="preserve">リキマルサケテン </t>
    </rPh>
    <rPh sb="16" eb="19">
      <t xml:space="preserve">シュセンドウ </t>
    </rPh>
    <rPh sb="19" eb="21">
      <t xml:space="preserve">ホリイチ </t>
    </rPh>
    <phoneticPr fontId="1"/>
  </si>
  <si>
    <t>503-0327236-8995838</t>
  </si>
  <si>
    <t>SHUWAN 酒器 おちょこ ぐい呑み 日本酒グラス 270ml 磁器 日本製 ...</t>
  </si>
  <si>
    <t>250-2772656-5524630</t>
  </si>
  <si>
    <t>250-9503326-2853419</t>
  </si>
  <si>
    <t>503-3638993-6938263</t>
  </si>
  <si>
    <t>250-7166987-1714267</t>
  </si>
  <si>
    <t>249-4410571-8836602</t>
  </si>
  <si>
    <t>249-9795828-8527835</t>
  </si>
  <si>
    <t>503-5211589-1270206</t>
  </si>
  <si>
    <t>250-9368172-1096655</t>
  </si>
  <si>
    <t>249-6444700-9137453</t>
  </si>
  <si>
    <t>503-1355737-9179029</t>
  </si>
  <si>
    <t>249-7274104-7223019</t>
  </si>
  <si>
    <t>250-1795049-5877439</t>
  </si>
  <si>
    <t>249-9951688-6633457</t>
  </si>
  <si>
    <t>503-0498323-9116627</t>
  </si>
  <si>
    <t>250-1934217-3165435</t>
  </si>
  <si>
    <t>249-6248466-6806230</t>
  </si>
  <si>
    <t>249-9960604-3565450</t>
  </si>
  <si>
    <t>503-6475596-7823010</t>
  </si>
  <si>
    <t>250-1384100-1499060</t>
  </si>
  <si>
    <t>250-0255509-6319042</t>
  </si>
  <si>
    <t>250-0967604-0867855</t>
  </si>
  <si>
    <t>249-7349562-0451850</t>
  </si>
  <si>
    <t>503-7954286-9132627</t>
  </si>
  <si>
    <t>250-1053611-0959024</t>
  </si>
  <si>
    <t>503-5833472-3429441</t>
  </si>
  <si>
    <t>503-0671685-9197410</t>
  </si>
  <si>
    <t>250-3711332-5335832</t>
  </si>
  <si>
    <t>503-6189181-7785424</t>
  </si>
  <si>
    <t>249-3774248-1047803</t>
  </si>
  <si>
    <t>250-2752915-2974213</t>
  </si>
  <si>
    <t>503-1158176-6263832</t>
  </si>
  <si>
    <t>503-5404843-6971804</t>
  </si>
  <si>
    <t>503-4124526-6181429</t>
  </si>
  <si>
    <t>250-4167614-8041469</t>
  </si>
  <si>
    <t>503-7310152-8668632</t>
  </si>
  <si>
    <t>503-7650074-1535818</t>
  </si>
  <si>
    <t>250-6350053-1370203</t>
  </si>
  <si>
    <t>503-7205298-3368669</t>
  </si>
  <si>
    <t>250-4602608-3854207</t>
  </si>
  <si>
    <t>250-4515080-7203053</t>
  </si>
  <si>
    <t>249-8830506-4686248</t>
  </si>
  <si>
    <t>250-5001850-0003840</t>
  </si>
  <si>
    <t>250-8034390-6045400</t>
  </si>
  <si>
    <t>249-6568803-2516614</t>
  </si>
  <si>
    <t>249-2339719-8183059</t>
  </si>
  <si>
    <t>503-9814892-0847049</t>
  </si>
  <si>
    <t>250-6247407-8171060</t>
  </si>
  <si>
    <t>503-3464036-3301450</t>
  </si>
  <si>
    <t>249-0240305-1922219</t>
  </si>
  <si>
    <t>250-4237332-0807007</t>
  </si>
  <si>
    <t>503-2954992-7693449</t>
  </si>
  <si>
    <t>250-4197070-0070253</t>
  </si>
  <si>
    <t>503-5110917-1656655</t>
  </si>
  <si>
    <t>249-6589471-7840619</t>
  </si>
  <si>
    <t>249-8451542-4797430</t>
  </si>
  <si>
    <t>ヴィノスやまざ</t>
    <phoneticPr fontId="1"/>
  </si>
  <si>
    <t>goooods</t>
    <phoneticPr fontId="1"/>
  </si>
  <si>
    <t>SHUWAN</t>
    <phoneticPr fontId="1"/>
  </si>
  <si>
    <t>取引手数料</t>
    <phoneticPr fontId="1"/>
  </si>
  <si>
    <t>事務手数料</t>
    <phoneticPr fontId="1"/>
  </si>
  <si>
    <t>goooods収支合計</t>
    <rPh sb="0" eb="2">
      <t xml:space="preserve">ゴウケイ </t>
    </rPh>
    <rPh sb="7" eb="9">
      <t xml:space="preserve">シュウシ </t>
    </rPh>
    <phoneticPr fontId="1"/>
  </si>
  <si>
    <t>goooods収支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</si>
</sst>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箱無し販売&quot;0"/>
  </numFmts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38" fontId="4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0" fontId="3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6" fontId="4" fillId="0" borderId="1" xfId="2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6" fontId="3" fillId="0" borderId="1" xfId="2" applyFont="1" applyBorder="1">
      <alignment vertical="center"/>
    </xf>
    <xf numFmtId="0" fontId="6" fillId="0" borderId="0" xfId="0" applyFont="1">
      <alignment vertical="center"/>
    </xf>
    <xf numFmtId="176" fontId="3" fillId="0" borderId="1" xfId="0" applyNumberFormat="1" applyFont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H52"/>
  <sheetViews>
    <sheetView tabSelected="1" zoomScale="59" zoomScaleNormal="100" zoomScaleSheetLayoutView="94" workbookViewId="0">
      <selection activeCell="H9" sqref="H9"/>
    </sheetView>
  </sheetViews>
  <sheetFormatPr defaultColWidth="10.71875" defaultRowHeight="24.4" x14ac:dyDescent="0.8"/>
  <cols>
    <col min="1" max="1" width="33.27734375" style="1" bestFit="1" customWidth="1"/>
    <col min="2" max="2" width="12" style="1" customWidth="1"/>
    <col min="3" max="3" width="6" style="1" bestFit="1" customWidth="1"/>
    <col min="4" max="4" width="12.5546875" style="1" bestFit="1" customWidth="1"/>
    <col min="5" max="5" width="27" style="1" customWidth="1"/>
    <col min="6" max="6" width="3.27734375" style="1" customWidth="1"/>
    <col min="7" max="7" width="5.44140625" style="1" bestFit="1" customWidth="1"/>
    <col min="8" max="8" width="10.71875" style="1"/>
    <col min="9" max="9" width="21.83203125" style="1" bestFit="1" customWidth="1"/>
    <col min="10" max="16384" width="10.71875" style="1"/>
  </cols>
  <sheetData>
    <row r="1" spans="1:8" x14ac:dyDescent="0.8">
      <c r="A1" s="1" t="s">
        <v>13</v>
      </c>
    </row>
    <row r="2" spans="1:8" x14ac:dyDescent="0.8">
      <c r="A2" s="2" t="s">
        <v>2</v>
      </c>
      <c r="B2" s="2" t="s">
        <v>5</v>
      </c>
      <c r="C2" s="2" t="s">
        <v>3</v>
      </c>
      <c r="D2" s="2" t="s">
        <v>14</v>
      </c>
      <c r="E2" s="15" t="s">
        <v>32</v>
      </c>
      <c r="G2" s="15" t="s">
        <v>71</v>
      </c>
      <c r="H2" s="15" t="s">
        <v>14</v>
      </c>
    </row>
    <row r="3" spans="1:8" x14ac:dyDescent="0.8">
      <c r="A3" s="2" t="s">
        <v>66</v>
      </c>
      <c r="B3" s="15">
        <f>ROUND(2000/1.1,0)</f>
        <v>1818</v>
      </c>
      <c r="C3" s="15">
        <v>18</v>
      </c>
      <c r="D3" s="22">
        <f>C3*B3</f>
        <v>32724</v>
      </c>
      <c r="E3" s="15"/>
      <c r="G3" s="15">
        <f>18+620</f>
        <v>638</v>
      </c>
      <c r="H3" s="15">
        <f>G3*C3</f>
        <v>11484</v>
      </c>
    </row>
    <row r="4" spans="1:8" x14ac:dyDescent="0.8">
      <c r="A4" s="2" t="s">
        <v>67</v>
      </c>
      <c r="B4" s="15">
        <f>ROUND(1000/1.1,0)</f>
        <v>909</v>
      </c>
      <c r="C4" s="15">
        <v>9</v>
      </c>
      <c r="D4" s="22">
        <f t="shared" ref="D4:D6" si="0">C4*B4</f>
        <v>8181</v>
      </c>
      <c r="E4" s="15"/>
      <c r="G4" s="15">
        <f>18+420</f>
        <v>438</v>
      </c>
      <c r="H4" s="15">
        <f t="shared" ref="H4:H6" si="1">G4*C4</f>
        <v>3942</v>
      </c>
    </row>
    <row r="5" spans="1:8" x14ac:dyDescent="0.8">
      <c r="A5" s="2" t="s">
        <v>68</v>
      </c>
      <c r="B5" s="15">
        <f>ROUND(250/1.1,0)</f>
        <v>227</v>
      </c>
      <c r="C5" s="15">
        <v>19</v>
      </c>
      <c r="D5" s="22">
        <f t="shared" si="0"/>
        <v>4313</v>
      </c>
      <c r="E5" s="15"/>
      <c r="G5" s="15">
        <f>18+103</f>
        <v>121</v>
      </c>
      <c r="H5" s="15">
        <f t="shared" si="1"/>
        <v>2299</v>
      </c>
    </row>
    <row r="6" spans="1:8" x14ac:dyDescent="0.8">
      <c r="A6" s="2" t="s">
        <v>69</v>
      </c>
      <c r="B6" s="15">
        <f>ROUND(220/1.1,0)</f>
        <v>200</v>
      </c>
      <c r="C6" s="15">
        <v>6</v>
      </c>
      <c r="D6" s="22">
        <f t="shared" si="0"/>
        <v>1200</v>
      </c>
      <c r="E6" s="15"/>
      <c r="G6" s="15">
        <f>18+99</f>
        <v>117</v>
      </c>
      <c r="H6" s="15">
        <f t="shared" si="1"/>
        <v>702</v>
      </c>
    </row>
    <row r="7" spans="1:8" x14ac:dyDescent="0.8">
      <c r="A7" s="2" t="s">
        <v>33</v>
      </c>
      <c r="B7" s="11"/>
      <c r="C7" s="14">
        <f>SUM(C3:C6)</f>
        <v>52</v>
      </c>
      <c r="D7" s="3">
        <f>SUM(D3:D6)</f>
        <v>46418</v>
      </c>
      <c r="E7" s="15"/>
      <c r="G7" s="15"/>
      <c r="H7" s="3">
        <f>SUM(H3:H6)</f>
        <v>18427</v>
      </c>
    </row>
    <row r="9" spans="1:8" x14ac:dyDescent="0.8">
      <c r="A9" s="2" t="s">
        <v>2</v>
      </c>
      <c r="B9" s="2" t="s">
        <v>5</v>
      </c>
      <c r="C9" s="2" t="s">
        <v>3</v>
      </c>
      <c r="D9" s="2" t="s">
        <v>14</v>
      </c>
      <c r="E9" s="15" t="s">
        <v>32</v>
      </c>
    </row>
    <row r="10" spans="1:8" x14ac:dyDescent="0.8">
      <c r="A10" s="2" t="s">
        <v>72</v>
      </c>
      <c r="B10" s="3">
        <f t="shared" ref="B10:B11" si="2">ROUND(D10/C10,0)</f>
        <v>4527</v>
      </c>
      <c r="C10" s="2">
        <v>12</v>
      </c>
      <c r="D10" s="8">
        <v>54324</v>
      </c>
      <c r="E10" s="15"/>
    </row>
    <row r="11" spans="1:8" x14ac:dyDescent="0.8">
      <c r="A11" s="2" t="s">
        <v>65</v>
      </c>
      <c r="B11" s="3">
        <f t="shared" si="2"/>
        <v>3900</v>
      </c>
      <c r="C11" s="4">
        <v>93</v>
      </c>
      <c r="D11" s="3">
        <v>362700</v>
      </c>
      <c r="E11" s="15"/>
    </row>
    <row r="12" spans="1:8" x14ac:dyDescent="0.8">
      <c r="A12" s="2" t="s">
        <v>60</v>
      </c>
      <c r="B12" s="3">
        <v>2520</v>
      </c>
      <c r="C12" s="4">
        <v>30</v>
      </c>
      <c r="D12" s="3">
        <f t="shared" ref="D12:D16" si="3">C12*B12</f>
        <v>75600</v>
      </c>
      <c r="E12" s="20" t="s">
        <v>157</v>
      </c>
    </row>
    <row r="13" spans="1:8" ht="97.5" x14ac:dyDescent="0.8">
      <c r="A13" s="2" t="s">
        <v>60</v>
      </c>
      <c r="B13" s="3">
        <v>2640</v>
      </c>
      <c r="C13" s="4">
        <v>180</v>
      </c>
      <c r="D13" s="3">
        <f t="shared" si="3"/>
        <v>475200</v>
      </c>
      <c r="E13" s="20" t="s">
        <v>99</v>
      </c>
    </row>
    <row r="14" spans="1:8" x14ac:dyDescent="0.8">
      <c r="A14" s="2" t="s">
        <v>60</v>
      </c>
      <c r="B14" s="3">
        <v>2950</v>
      </c>
      <c r="C14" s="4">
        <v>12</v>
      </c>
      <c r="D14" s="3">
        <f t="shared" ref="D14:D15" si="4">C14*B14</f>
        <v>35400</v>
      </c>
      <c r="E14" s="20" t="s">
        <v>97</v>
      </c>
    </row>
    <row r="15" spans="1:8" x14ac:dyDescent="0.8">
      <c r="A15" s="2" t="s">
        <v>95</v>
      </c>
      <c r="B15" s="3">
        <v>2440</v>
      </c>
      <c r="C15" s="4">
        <v>30</v>
      </c>
      <c r="D15" s="3">
        <f t="shared" si="4"/>
        <v>73200</v>
      </c>
      <c r="E15" s="20" t="s">
        <v>98</v>
      </c>
    </row>
    <row r="16" spans="1:8" x14ac:dyDescent="0.8">
      <c r="A16" s="2" t="s">
        <v>95</v>
      </c>
      <c r="B16" s="3">
        <v>2950</v>
      </c>
      <c r="C16" s="4">
        <v>12</v>
      </c>
      <c r="D16" s="3">
        <f t="shared" si="3"/>
        <v>35400</v>
      </c>
      <c r="E16" s="20" t="s">
        <v>96</v>
      </c>
    </row>
    <row r="17" spans="1:8" x14ac:dyDescent="0.8">
      <c r="A17" s="2" t="s">
        <v>33</v>
      </c>
      <c r="B17" s="11"/>
      <c r="C17" s="14">
        <f>SUM(C10:C16)</f>
        <v>369</v>
      </c>
      <c r="D17" s="3">
        <f>SUM(D10:D16)</f>
        <v>1111824</v>
      </c>
      <c r="E17" s="15"/>
    </row>
    <row r="18" spans="1:8" x14ac:dyDescent="0.8">
      <c r="A18" s="5"/>
      <c r="B18" s="5"/>
      <c r="C18" s="5"/>
      <c r="D18" s="6"/>
    </row>
    <row r="19" spans="1:8" x14ac:dyDescent="0.8">
      <c r="A19" s="2" t="s">
        <v>40</v>
      </c>
      <c r="B19" s="2" t="s">
        <v>5</v>
      </c>
      <c r="C19" s="2" t="s">
        <v>3</v>
      </c>
      <c r="D19" s="2" t="s">
        <v>14</v>
      </c>
      <c r="E19" s="15" t="s">
        <v>32</v>
      </c>
      <c r="H19" s="23"/>
    </row>
    <row r="20" spans="1:8" x14ac:dyDescent="0.8">
      <c r="A20" s="2" t="s">
        <v>36</v>
      </c>
      <c r="B20" s="3">
        <f>ROUND(D20/C20,0)</f>
        <v>4113</v>
      </c>
      <c r="C20" s="2">
        <v>73</v>
      </c>
      <c r="D20" s="3">
        <v>300230</v>
      </c>
      <c r="E20" s="15"/>
    </row>
    <row r="21" spans="1:8" x14ac:dyDescent="0.8">
      <c r="A21" s="2" t="s">
        <v>37</v>
      </c>
      <c r="B21" s="11"/>
      <c r="C21" s="11"/>
      <c r="D21" s="3">
        <v>-2867</v>
      </c>
      <c r="E21" s="15"/>
    </row>
    <row r="22" spans="1:8" x14ac:dyDescent="0.8">
      <c r="A22" s="2" t="s">
        <v>38</v>
      </c>
      <c r="B22" s="11"/>
      <c r="C22" s="11"/>
      <c r="D22" s="3">
        <v>22968</v>
      </c>
      <c r="E22" s="15"/>
    </row>
    <row r="23" spans="1:8" x14ac:dyDescent="0.8">
      <c r="A23" s="2" t="s">
        <v>94</v>
      </c>
      <c r="B23" s="11"/>
      <c r="C23" s="11"/>
      <c r="D23" s="3">
        <v>-30985</v>
      </c>
      <c r="E23" s="15"/>
    </row>
    <row r="24" spans="1:8" x14ac:dyDescent="0.8">
      <c r="A24" s="2" t="s">
        <v>58</v>
      </c>
      <c r="B24" s="19"/>
      <c r="C24" s="19"/>
      <c r="D24" s="3">
        <v>105290</v>
      </c>
      <c r="E24" s="15" t="s">
        <v>59</v>
      </c>
    </row>
    <row r="25" spans="1:8" x14ac:dyDescent="0.8">
      <c r="A25" s="2" t="s">
        <v>16</v>
      </c>
      <c r="B25" s="2"/>
      <c r="C25" s="2"/>
      <c r="D25" s="3">
        <f>D20-D21-D22-D23-D24</f>
        <v>205824</v>
      </c>
      <c r="E25" s="15"/>
    </row>
    <row r="26" spans="1:8" x14ac:dyDescent="0.8">
      <c r="A26" s="5"/>
      <c r="B26" s="5"/>
      <c r="C26" s="5"/>
      <c r="D26" s="6"/>
    </row>
    <row r="27" spans="1:8" x14ac:dyDescent="0.8">
      <c r="A27" s="2" t="s">
        <v>158</v>
      </c>
      <c r="B27" s="2" t="s">
        <v>5</v>
      </c>
      <c r="C27" s="2" t="s">
        <v>3</v>
      </c>
      <c r="D27" s="2" t="s">
        <v>14</v>
      </c>
      <c r="E27" s="15" t="s">
        <v>32</v>
      </c>
    </row>
    <row r="28" spans="1:8" x14ac:dyDescent="0.8">
      <c r="A28" s="2" t="s">
        <v>159</v>
      </c>
      <c r="B28" s="3">
        <v>3120</v>
      </c>
      <c r="C28" s="2">
        <v>1</v>
      </c>
      <c r="D28" s="3">
        <f>C28*B28</f>
        <v>3120</v>
      </c>
      <c r="E28" s="15"/>
    </row>
    <row r="29" spans="1:8" x14ac:dyDescent="0.8">
      <c r="A29" s="2" t="s">
        <v>160</v>
      </c>
      <c r="B29" s="3">
        <v>468</v>
      </c>
      <c r="C29" s="2">
        <v>1</v>
      </c>
      <c r="D29" s="3">
        <f>C29*B29</f>
        <v>468</v>
      </c>
      <c r="E29" s="15"/>
    </row>
    <row r="30" spans="1:8" x14ac:dyDescent="0.8">
      <c r="A30" s="2" t="s">
        <v>161</v>
      </c>
      <c r="B30" s="3">
        <v>227</v>
      </c>
      <c r="C30" s="2">
        <v>1</v>
      </c>
      <c r="D30" s="3">
        <f>C30*B30</f>
        <v>227</v>
      </c>
      <c r="E30" s="15"/>
    </row>
    <row r="31" spans="1:8" x14ac:dyDescent="0.8">
      <c r="A31" s="2" t="s">
        <v>162</v>
      </c>
      <c r="B31" s="11"/>
      <c r="C31" s="11"/>
      <c r="D31" s="3">
        <f>D28-D29-D30</f>
        <v>2425</v>
      </c>
      <c r="E31" s="15"/>
    </row>
    <row r="32" spans="1:8" x14ac:dyDescent="0.8">
      <c r="A32" s="5"/>
      <c r="B32" s="5"/>
      <c r="C32" s="5"/>
      <c r="D32" s="6"/>
    </row>
    <row r="33" spans="1:5" x14ac:dyDescent="0.8">
      <c r="A33" s="5" t="s">
        <v>4</v>
      </c>
      <c r="B33" s="7"/>
      <c r="D33" s="7"/>
    </row>
    <row r="34" spans="1:5" x14ac:dyDescent="0.8">
      <c r="A34" s="2" t="s">
        <v>2</v>
      </c>
      <c r="B34" s="2" t="s">
        <v>5</v>
      </c>
      <c r="C34" s="2" t="s">
        <v>3</v>
      </c>
      <c r="D34" s="2" t="s">
        <v>14</v>
      </c>
      <c r="E34" s="15" t="s">
        <v>32</v>
      </c>
    </row>
    <row r="35" spans="1:5" x14ac:dyDescent="0.8">
      <c r="A35" s="2" t="s">
        <v>73</v>
      </c>
      <c r="B35" s="3">
        <v>1300</v>
      </c>
      <c r="C35" s="2">
        <f>C10</f>
        <v>12</v>
      </c>
      <c r="D35" s="3">
        <f>B35*C35</f>
        <v>15600</v>
      </c>
      <c r="E35" s="15"/>
    </row>
    <row r="36" spans="1:5" x14ac:dyDescent="0.8">
      <c r="A36" s="2" t="s">
        <v>9</v>
      </c>
      <c r="B36" s="3">
        <v>1050</v>
      </c>
      <c r="C36" s="4">
        <f>C17+C20+C28-C10</f>
        <v>431</v>
      </c>
      <c r="D36" s="3">
        <f>B36*C36</f>
        <v>452550</v>
      </c>
      <c r="E36" s="15"/>
    </row>
    <row r="37" spans="1:5" x14ac:dyDescent="0.8">
      <c r="A37" s="2" t="s">
        <v>70</v>
      </c>
      <c r="B37" s="3">
        <f>ROUND(D37/C37,0)</f>
        <v>354</v>
      </c>
      <c r="C37" s="4">
        <f>C7</f>
        <v>52</v>
      </c>
      <c r="D37" s="3">
        <f>H7</f>
        <v>18427</v>
      </c>
      <c r="E37" s="15"/>
    </row>
    <row r="38" spans="1:5" x14ac:dyDescent="0.8">
      <c r="A38" s="2" t="s">
        <v>6</v>
      </c>
      <c r="B38" s="3">
        <v>100</v>
      </c>
      <c r="C38" s="4">
        <f>C17+C20+C28-E38</f>
        <v>401</v>
      </c>
      <c r="D38" s="3">
        <f>B38*C38</f>
        <v>40100</v>
      </c>
      <c r="E38" s="24">
        <v>42</v>
      </c>
    </row>
    <row r="39" spans="1:5" x14ac:dyDescent="0.8">
      <c r="A39" s="2" t="s">
        <v>7</v>
      </c>
      <c r="B39" s="3">
        <f>ROUND(150/1.1,0)</f>
        <v>136</v>
      </c>
      <c r="C39" s="4">
        <f>C17-C10</f>
        <v>357</v>
      </c>
      <c r="D39" s="3">
        <f>B39*C39</f>
        <v>48552</v>
      </c>
      <c r="E39" s="15"/>
    </row>
    <row r="40" spans="1:5" x14ac:dyDescent="0.8">
      <c r="A40" s="16" t="s">
        <v>35</v>
      </c>
      <c r="B40" s="11"/>
      <c r="C40" s="12"/>
      <c r="D40" s="3">
        <f>ROUND((D7+D11)*0.0373,0)</f>
        <v>15260</v>
      </c>
      <c r="E40" s="17">
        <v>-3.73E-2</v>
      </c>
    </row>
    <row r="41" spans="1:5" x14ac:dyDescent="0.8">
      <c r="A41" s="2" t="s">
        <v>34</v>
      </c>
      <c r="B41" s="13"/>
      <c r="C41" s="13"/>
      <c r="D41" s="3">
        <f>SUM(D35:D40)</f>
        <v>590489</v>
      </c>
      <c r="E41" s="15"/>
    </row>
    <row r="42" spans="1:5" x14ac:dyDescent="0.8">
      <c r="A42" s="5"/>
      <c r="B42" s="5"/>
      <c r="C42" s="5"/>
      <c r="D42" s="6"/>
    </row>
    <row r="43" spans="1:5" x14ac:dyDescent="0.8">
      <c r="A43" s="2" t="s">
        <v>2</v>
      </c>
      <c r="B43" s="2" t="s">
        <v>8</v>
      </c>
    </row>
    <row r="44" spans="1:5" x14ac:dyDescent="0.8">
      <c r="A44" s="2" t="s">
        <v>10</v>
      </c>
      <c r="B44" s="8">
        <f>D17</f>
        <v>1111824</v>
      </c>
    </row>
    <row r="45" spans="1:5" x14ac:dyDescent="0.8">
      <c r="A45" s="2" t="s">
        <v>11</v>
      </c>
      <c r="B45" s="8">
        <f>D41</f>
        <v>590489</v>
      </c>
    </row>
    <row r="46" spans="1:5" x14ac:dyDescent="0.8">
      <c r="A46" s="2" t="s">
        <v>39</v>
      </c>
      <c r="B46" s="8">
        <f>D25</f>
        <v>205824</v>
      </c>
    </row>
    <row r="47" spans="1:5" x14ac:dyDescent="0.8">
      <c r="A47" s="2" t="s">
        <v>163</v>
      </c>
      <c r="B47" s="8">
        <f>D31</f>
        <v>2425</v>
      </c>
    </row>
    <row r="48" spans="1:5" x14ac:dyDescent="0.8">
      <c r="A48" s="2" t="s">
        <v>0</v>
      </c>
      <c r="B48" s="8">
        <f>B44-B45+B46+B47</f>
        <v>729584</v>
      </c>
    </row>
    <row r="49" spans="1:2" x14ac:dyDescent="0.8">
      <c r="A49" s="2" t="s">
        <v>1</v>
      </c>
      <c r="B49" s="3">
        <f>ROUND(B48*0.6,0)</f>
        <v>437750</v>
      </c>
    </row>
    <row r="50" spans="1:2" x14ac:dyDescent="0.8">
      <c r="A50" s="2" t="s">
        <v>12</v>
      </c>
      <c r="B50" s="3">
        <f>B48*0.4</f>
        <v>291833.60000000003</v>
      </c>
    </row>
    <row r="52" spans="1:2" x14ac:dyDescent="0.8">
      <c r="A52" s="1" t="s">
        <v>15</v>
      </c>
    </row>
  </sheetData>
  <phoneticPr fontId="1"/>
  <pageMargins left="0.25" right="0.25" top="0.75" bottom="0.75" header="0.3" footer="0.3"/>
  <pageSetup paperSize="9" scale="82" orientation="portrait" horizontalDpi="0" verticalDpi="0"/>
  <headerFooter>
    <oddHeader>&amp;F</oddHeader>
  </headerFooter>
  <rowBreaks count="1" manualBreakCount="1">
    <brk id="32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K71"/>
  <sheetViews>
    <sheetView topLeftCell="E1" workbookViewId="0">
      <pane xSplit="8640" ySplit="840" topLeftCell="E58" activePane="bottomRight"/>
      <selection activeCell="E1" sqref="E1"/>
      <selection pane="topRight" activeCell="K1" sqref="K1:K1048576"/>
      <selection pane="bottomLeft" activeCell="E2" sqref="E2"/>
      <selection pane="bottomRight" activeCell="H71" sqref="H71"/>
    </sheetView>
  </sheetViews>
  <sheetFormatPr defaultColWidth="10.6640625" defaultRowHeight="19.899999999999999" x14ac:dyDescent="0.8"/>
  <cols>
    <col min="5" max="5" width="58" bestFit="1" customWidth="1"/>
    <col min="6" max="6" width="15.71875" bestFit="1" customWidth="1"/>
    <col min="7" max="7" width="23.5546875" bestFit="1" customWidth="1"/>
    <col min="8" max="8" width="15.44140625" bestFit="1" customWidth="1"/>
    <col min="11" max="11" width="8.5546875" bestFit="1" customWidth="1"/>
  </cols>
  <sheetData>
    <row r="1" spans="1:11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38</v>
      </c>
      <c r="I1" t="s">
        <v>51</v>
      </c>
      <c r="J1" t="s">
        <v>52</v>
      </c>
      <c r="K1" s="18" t="s">
        <v>61</v>
      </c>
    </row>
    <row r="2" spans="1:11" x14ac:dyDescent="0.8">
      <c r="A2" s="10">
        <v>45930</v>
      </c>
      <c r="B2" t="s">
        <v>41</v>
      </c>
      <c r="C2" t="s">
        <v>42</v>
      </c>
      <c r="D2" t="s">
        <v>100</v>
      </c>
      <c r="E2" t="s">
        <v>101</v>
      </c>
      <c r="F2">
        <v>4527</v>
      </c>
      <c r="G2">
        <v>0</v>
      </c>
      <c r="H2">
        <v>-434</v>
      </c>
      <c r="I2">
        <v>403</v>
      </c>
      <c r="J2">
        <v>4496</v>
      </c>
      <c r="K2">
        <f>ROUND(J2/4496,0)</f>
        <v>1</v>
      </c>
    </row>
    <row r="3" spans="1:11" x14ac:dyDescent="0.8">
      <c r="A3" s="10">
        <v>45930</v>
      </c>
      <c r="B3" t="s">
        <v>41</v>
      </c>
      <c r="C3" t="s">
        <v>42</v>
      </c>
      <c r="D3" t="s">
        <v>102</v>
      </c>
      <c r="E3" t="s">
        <v>101</v>
      </c>
      <c r="F3">
        <v>9055</v>
      </c>
      <c r="G3">
        <v>0</v>
      </c>
      <c r="H3">
        <v>-868</v>
      </c>
      <c r="I3">
        <v>805</v>
      </c>
      <c r="J3">
        <v>8992</v>
      </c>
      <c r="K3">
        <f t="shared" ref="K3:K64" si="0">ROUND(J3/4496,0)</f>
        <v>2</v>
      </c>
    </row>
    <row r="4" spans="1:11" x14ac:dyDescent="0.8">
      <c r="A4" s="10">
        <v>45930</v>
      </c>
      <c r="B4" t="s">
        <v>41</v>
      </c>
      <c r="C4" t="s">
        <v>42</v>
      </c>
      <c r="D4" t="s">
        <v>103</v>
      </c>
      <c r="E4" t="s">
        <v>101</v>
      </c>
      <c r="F4">
        <v>4527</v>
      </c>
      <c r="G4">
        <v>0</v>
      </c>
      <c r="H4">
        <v>-434</v>
      </c>
      <c r="I4">
        <v>403</v>
      </c>
      <c r="J4">
        <v>4496</v>
      </c>
      <c r="K4">
        <f t="shared" si="0"/>
        <v>1</v>
      </c>
    </row>
    <row r="5" spans="1:11" x14ac:dyDescent="0.8">
      <c r="A5" s="10">
        <v>45928</v>
      </c>
      <c r="B5" t="s">
        <v>41</v>
      </c>
      <c r="C5" t="s">
        <v>42</v>
      </c>
      <c r="D5" t="s">
        <v>104</v>
      </c>
      <c r="E5" t="s">
        <v>101</v>
      </c>
      <c r="F5">
        <v>4527</v>
      </c>
      <c r="G5">
        <v>0</v>
      </c>
      <c r="H5">
        <v>-434</v>
      </c>
      <c r="I5">
        <v>403</v>
      </c>
      <c r="J5">
        <v>4496</v>
      </c>
      <c r="K5">
        <f t="shared" si="0"/>
        <v>1</v>
      </c>
    </row>
    <row r="6" spans="1:11" x14ac:dyDescent="0.8">
      <c r="A6" s="10">
        <v>45928</v>
      </c>
      <c r="B6" t="s">
        <v>41</v>
      </c>
      <c r="C6" t="s">
        <v>42</v>
      </c>
      <c r="D6" t="s">
        <v>105</v>
      </c>
      <c r="E6" t="s">
        <v>101</v>
      </c>
      <c r="F6">
        <v>4527</v>
      </c>
      <c r="G6">
        <v>0</v>
      </c>
      <c r="H6">
        <v>-434</v>
      </c>
      <c r="I6">
        <v>403</v>
      </c>
      <c r="J6">
        <v>4496</v>
      </c>
      <c r="K6">
        <f t="shared" si="0"/>
        <v>1</v>
      </c>
    </row>
    <row r="7" spans="1:11" x14ac:dyDescent="0.8">
      <c r="A7" s="10">
        <v>45927</v>
      </c>
      <c r="B7" t="s">
        <v>41</v>
      </c>
      <c r="C7" t="s">
        <v>42</v>
      </c>
      <c r="D7" t="s">
        <v>106</v>
      </c>
      <c r="E7" t="s">
        <v>101</v>
      </c>
      <c r="F7">
        <v>4527</v>
      </c>
      <c r="G7">
        <v>0</v>
      </c>
      <c r="H7">
        <v>-434</v>
      </c>
      <c r="I7">
        <v>403</v>
      </c>
      <c r="J7">
        <v>4496</v>
      </c>
      <c r="K7">
        <f t="shared" si="0"/>
        <v>1</v>
      </c>
    </row>
    <row r="8" spans="1:11" x14ac:dyDescent="0.8">
      <c r="A8" s="10">
        <v>45927</v>
      </c>
      <c r="B8" t="s">
        <v>41</v>
      </c>
      <c r="C8" t="s">
        <v>42</v>
      </c>
      <c r="D8" t="s">
        <v>107</v>
      </c>
      <c r="E8" t="s">
        <v>101</v>
      </c>
      <c r="F8">
        <v>4527</v>
      </c>
      <c r="G8">
        <v>0</v>
      </c>
      <c r="H8">
        <v>-434</v>
      </c>
      <c r="I8">
        <v>403</v>
      </c>
      <c r="J8">
        <v>4496</v>
      </c>
      <c r="K8">
        <f t="shared" si="0"/>
        <v>1</v>
      </c>
    </row>
    <row r="9" spans="1:11" x14ac:dyDescent="0.8">
      <c r="A9" s="10">
        <v>45926</v>
      </c>
      <c r="B9" t="s">
        <v>41</v>
      </c>
      <c r="C9" t="s">
        <v>42</v>
      </c>
      <c r="D9" t="s">
        <v>108</v>
      </c>
      <c r="E9" t="s">
        <v>101</v>
      </c>
      <c r="F9">
        <v>4527</v>
      </c>
      <c r="G9">
        <v>0</v>
      </c>
      <c r="H9">
        <v>-434</v>
      </c>
      <c r="I9">
        <v>403</v>
      </c>
      <c r="J9">
        <v>4496</v>
      </c>
      <c r="K9">
        <f t="shared" si="0"/>
        <v>1</v>
      </c>
    </row>
    <row r="10" spans="1:11" x14ac:dyDescent="0.8">
      <c r="A10" s="10">
        <v>45925</v>
      </c>
      <c r="B10" t="s">
        <v>41</v>
      </c>
      <c r="C10" t="s">
        <v>42</v>
      </c>
      <c r="D10" t="s">
        <v>109</v>
      </c>
      <c r="E10" t="s">
        <v>75</v>
      </c>
      <c r="F10">
        <v>13581</v>
      </c>
      <c r="G10">
        <v>-1954</v>
      </c>
      <c r="H10">
        <v>-1302</v>
      </c>
      <c r="I10">
        <v>1804</v>
      </c>
      <c r="J10">
        <v>12129</v>
      </c>
      <c r="K10">
        <f t="shared" si="0"/>
        <v>3</v>
      </c>
    </row>
    <row r="11" spans="1:11" x14ac:dyDescent="0.8">
      <c r="A11" s="10">
        <v>45925</v>
      </c>
      <c r="B11" t="s">
        <v>41</v>
      </c>
      <c r="C11" t="s">
        <v>42</v>
      </c>
      <c r="D11" t="s">
        <v>110</v>
      </c>
      <c r="E11" t="s">
        <v>101</v>
      </c>
      <c r="F11">
        <v>4527</v>
      </c>
      <c r="G11">
        <v>0</v>
      </c>
      <c r="H11">
        <v>-788</v>
      </c>
      <c r="I11">
        <v>757</v>
      </c>
      <c r="J11">
        <v>4496</v>
      </c>
      <c r="K11">
        <f t="shared" si="0"/>
        <v>1</v>
      </c>
    </row>
    <row r="12" spans="1:11" x14ac:dyDescent="0.8">
      <c r="A12" s="10">
        <v>45925</v>
      </c>
      <c r="B12" t="s">
        <v>41</v>
      </c>
      <c r="C12" t="s">
        <v>42</v>
      </c>
      <c r="D12" t="s">
        <v>111</v>
      </c>
      <c r="E12" t="s">
        <v>101</v>
      </c>
      <c r="F12">
        <v>4527</v>
      </c>
      <c r="G12">
        <v>0</v>
      </c>
      <c r="H12">
        <v>-434</v>
      </c>
      <c r="I12">
        <v>403</v>
      </c>
      <c r="J12">
        <v>4496</v>
      </c>
      <c r="K12">
        <f t="shared" si="0"/>
        <v>1</v>
      </c>
    </row>
    <row r="13" spans="1:11" x14ac:dyDescent="0.8">
      <c r="A13" s="10">
        <v>45924</v>
      </c>
      <c r="B13" t="s">
        <v>41</v>
      </c>
      <c r="C13" t="s">
        <v>42</v>
      </c>
      <c r="D13" t="s">
        <v>112</v>
      </c>
      <c r="E13" t="s">
        <v>75</v>
      </c>
      <c r="F13">
        <v>4527</v>
      </c>
      <c r="G13">
        <v>0</v>
      </c>
      <c r="H13">
        <v>-788</v>
      </c>
      <c r="I13">
        <v>757</v>
      </c>
      <c r="J13">
        <v>4496</v>
      </c>
      <c r="K13">
        <f t="shared" si="0"/>
        <v>1</v>
      </c>
    </row>
    <row r="14" spans="1:11" x14ac:dyDescent="0.8">
      <c r="A14" s="10">
        <v>45924</v>
      </c>
      <c r="B14" t="s">
        <v>41</v>
      </c>
      <c r="C14" t="s">
        <v>42</v>
      </c>
      <c r="D14" t="s">
        <v>113</v>
      </c>
      <c r="E14" t="s">
        <v>75</v>
      </c>
      <c r="F14">
        <v>4527</v>
      </c>
      <c r="G14">
        <v>0</v>
      </c>
      <c r="H14">
        <v>-434</v>
      </c>
      <c r="I14">
        <v>403</v>
      </c>
      <c r="J14">
        <v>4496</v>
      </c>
      <c r="K14">
        <f t="shared" si="0"/>
        <v>1</v>
      </c>
    </row>
    <row r="15" spans="1:11" x14ac:dyDescent="0.8">
      <c r="A15" s="10">
        <v>45923</v>
      </c>
      <c r="B15" t="s">
        <v>41</v>
      </c>
      <c r="C15" t="s">
        <v>42</v>
      </c>
      <c r="D15" t="s">
        <v>114</v>
      </c>
      <c r="E15" t="s">
        <v>75</v>
      </c>
      <c r="F15">
        <v>4527</v>
      </c>
      <c r="G15">
        <v>0</v>
      </c>
      <c r="H15">
        <v>-434</v>
      </c>
      <c r="I15">
        <v>403</v>
      </c>
      <c r="J15">
        <v>4496</v>
      </c>
      <c r="K15">
        <f t="shared" si="0"/>
        <v>1</v>
      </c>
    </row>
    <row r="16" spans="1:11" x14ac:dyDescent="0.8">
      <c r="A16" s="10">
        <v>45923</v>
      </c>
      <c r="B16" t="s">
        <v>41</v>
      </c>
      <c r="C16" t="s">
        <v>42</v>
      </c>
      <c r="D16" t="s">
        <v>115</v>
      </c>
      <c r="E16" t="s">
        <v>75</v>
      </c>
      <c r="F16">
        <v>4527</v>
      </c>
      <c r="G16">
        <v>0</v>
      </c>
      <c r="H16">
        <v>-434</v>
      </c>
      <c r="I16">
        <v>403</v>
      </c>
      <c r="J16">
        <v>4496</v>
      </c>
      <c r="K16">
        <f t="shared" si="0"/>
        <v>1</v>
      </c>
    </row>
    <row r="17" spans="1:11" x14ac:dyDescent="0.8">
      <c r="A17" s="10">
        <v>45922</v>
      </c>
      <c r="B17" t="s">
        <v>41</v>
      </c>
      <c r="C17" t="s">
        <v>42</v>
      </c>
      <c r="D17" t="s">
        <v>116</v>
      </c>
      <c r="E17" t="s">
        <v>75</v>
      </c>
      <c r="F17">
        <v>4527</v>
      </c>
      <c r="G17">
        <v>-182</v>
      </c>
      <c r="H17">
        <v>-434</v>
      </c>
      <c r="I17">
        <v>585</v>
      </c>
      <c r="J17">
        <v>4496</v>
      </c>
      <c r="K17">
        <f t="shared" si="0"/>
        <v>1</v>
      </c>
    </row>
    <row r="18" spans="1:11" x14ac:dyDescent="0.8">
      <c r="A18" s="10">
        <v>45922</v>
      </c>
      <c r="B18" t="s">
        <v>41</v>
      </c>
      <c r="C18" t="s">
        <v>42</v>
      </c>
      <c r="D18" t="s">
        <v>117</v>
      </c>
      <c r="E18" t="s">
        <v>75</v>
      </c>
      <c r="F18">
        <v>4527</v>
      </c>
      <c r="G18">
        <v>0</v>
      </c>
      <c r="H18">
        <v>-434</v>
      </c>
      <c r="I18">
        <v>403</v>
      </c>
      <c r="J18">
        <v>4496</v>
      </c>
      <c r="K18">
        <f t="shared" si="0"/>
        <v>1</v>
      </c>
    </row>
    <row r="19" spans="1:11" x14ac:dyDescent="0.8">
      <c r="A19" s="10">
        <v>45922</v>
      </c>
      <c r="B19" t="s">
        <v>41</v>
      </c>
      <c r="C19" t="s">
        <v>42</v>
      </c>
      <c r="D19" t="s">
        <v>118</v>
      </c>
      <c r="E19" t="s">
        <v>75</v>
      </c>
      <c r="F19">
        <v>4527</v>
      </c>
      <c r="G19">
        <v>-418</v>
      </c>
      <c r="H19">
        <v>-434</v>
      </c>
      <c r="I19">
        <v>821</v>
      </c>
      <c r="J19">
        <v>4496</v>
      </c>
      <c r="K19">
        <f t="shared" si="0"/>
        <v>1</v>
      </c>
    </row>
    <row r="20" spans="1:11" x14ac:dyDescent="0.8">
      <c r="A20" s="10">
        <v>45922</v>
      </c>
      <c r="B20" t="s">
        <v>41</v>
      </c>
      <c r="C20" t="s">
        <v>42</v>
      </c>
      <c r="D20" t="s">
        <v>119</v>
      </c>
      <c r="E20" t="s">
        <v>75</v>
      </c>
      <c r="F20">
        <v>4527</v>
      </c>
      <c r="G20">
        <v>0</v>
      </c>
      <c r="H20">
        <v>-434</v>
      </c>
      <c r="I20">
        <v>403</v>
      </c>
      <c r="J20">
        <v>4496</v>
      </c>
      <c r="K20">
        <f t="shared" si="0"/>
        <v>1</v>
      </c>
    </row>
    <row r="21" spans="1:11" x14ac:dyDescent="0.8">
      <c r="A21" s="10">
        <v>45921</v>
      </c>
      <c r="B21" t="s">
        <v>41</v>
      </c>
      <c r="C21" t="s">
        <v>42</v>
      </c>
      <c r="D21" t="s">
        <v>120</v>
      </c>
      <c r="E21" t="s">
        <v>75</v>
      </c>
      <c r="F21">
        <v>9054</v>
      </c>
      <c r="G21">
        <v>0</v>
      </c>
      <c r="H21">
        <v>-1576</v>
      </c>
      <c r="I21">
        <v>1514</v>
      </c>
      <c r="J21">
        <v>8992</v>
      </c>
      <c r="K21">
        <f t="shared" si="0"/>
        <v>2</v>
      </c>
    </row>
    <row r="22" spans="1:11" x14ac:dyDescent="0.8">
      <c r="A22" s="10">
        <v>45921</v>
      </c>
      <c r="B22" t="s">
        <v>41</v>
      </c>
      <c r="C22" t="s">
        <v>42</v>
      </c>
      <c r="D22" t="s">
        <v>121</v>
      </c>
      <c r="E22" t="s">
        <v>75</v>
      </c>
      <c r="F22">
        <v>4527</v>
      </c>
      <c r="G22">
        <v>0</v>
      </c>
      <c r="H22">
        <v>-434</v>
      </c>
      <c r="I22">
        <v>403</v>
      </c>
      <c r="J22">
        <v>4496</v>
      </c>
      <c r="K22">
        <f t="shared" si="0"/>
        <v>1</v>
      </c>
    </row>
    <row r="23" spans="1:11" x14ac:dyDescent="0.8">
      <c r="A23" s="10">
        <v>45920</v>
      </c>
      <c r="B23" t="s">
        <v>41</v>
      </c>
      <c r="C23" t="s">
        <v>54</v>
      </c>
      <c r="D23" t="s">
        <v>55</v>
      </c>
      <c r="E23" t="s">
        <v>56</v>
      </c>
      <c r="F23">
        <v>0</v>
      </c>
      <c r="G23">
        <v>0</v>
      </c>
      <c r="H23">
        <v>-55564</v>
      </c>
      <c r="I23">
        <v>0</v>
      </c>
      <c r="J23">
        <v>-55564</v>
      </c>
    </row>
    <row r="24" spans="1:11" x14ac:dyDescent="0.8">
      <c r="A24" s="10">
        <v>45920</v>
      </c>
      <c r="B24" t="s">
        <v>41</v>
      </c>
      <c r="C24" t="s">
        <v>42</v>
      </c>
      <c r="D24" t="s">
        <v>122</v>
      </c>
      <c r="E24" t="s">
        <v>75</v>
      </c>
      <c r="F24">
        <v>4527</v>
      </c>
      <c r="G24">
        <v>0</v>
      </c>
      <c r="H24">
        <v>-434</v>
      </c>
      <c r="I24">
        <v>403</v>
      </c>
      <c r="J24">
        <v>4496</v>
      </c>
      <c r="K24">
        <f t="shared" si="0"/>
        <v>1</v>
      </c>
    </row>
    <row r="25" spans="1:11" x14ac:dyDescent="0.8">
      <c r="A25" s="10">
        <v>45918</v>
      </c>
      <c r="B25" t="s">
        <v>41</v>
      </c>
      <c r="C25" t="s">
        <v>42</v>
      </c>
      <c r="D25" t="s">
        <v>123</v>
      </c>
      <c r="E25" t="s">
        <v>75</v>
      </c>
      <c r="F25">
        <v>4527</v>
      </c>
      <c r="G25">
        <v>0</v>
      </c>
      <c r="H25">
        <v>-434</v>
      </c>
      <c r="I25">
        <v>403</v>
      </c>
      <c r="J25">
        <v>4496</v>
      </c>
      <c r="K25">
        <f t="shared" si="0"/>
        <v>1</v>
      </c>
    </row>
    <row r="26" spans="1:11" x14ac:dyDescent="0.8">
      <c r="A26" s="10">
        <v>45918</v>
      </c>
      <c r="B26" t="s">
        <v>41</v>
      </c>
      <c r="C26" t="s">
        <v>42</v>
      </c>
      <c r="D26" t="s">
        <v>124</v>
      </c>
      <c r="E26" t="s">
        <v>75</v>
      </c>
      <c r="F26">
        <v>4527</v>
      </c>
      <c r="G26">
        <v>-418</v>
      </c>
      <c r="H26">
        <v>-434</v>
      </c>
      <c r="I26">
        <v>821</v>
      </c>
      <c r="J26">
        <v>4496</v>
      </c>
      <c r="K26">
        <f t="shared" si="0"/>
        <v>1</v>
      </c>
    </row>
    <row r="27" spans="1:11" x14ac:dyDescent="0.8">
      <c r="A27" s="10">
        <v>45917</v>
      </c>
      <c r="B27" t="s">
        <v>41</v>
      </c>
      <c r="C27" t="s">
        <v>42</v>
      </c>
      <c r="D27" t="s">
        <v>125</v>
      </c>
      <c r="E27" t="s">
        <v>75</v>
      </c>
      <c r="F27">
        <v>4527</v>
      </c>
      <c r="G27">
        <v>0</v>
      </c>
      <c r="H27">
        <v>-434</v>
      </c>
      <c r="I27">
        <v>403</v>
      </c>
      <c r="J27">
        <v>4496</v>
      </c>
      <c r="K27">
        <f t="shared" si="0"/>
        <v>1</v>
      </c>
    </row>
    <row r="28" spans="1:11" x14ac:dyDescent="0.8">
      <c r="A28" s="10">
        <v>45917</v>
      </c>
      <c r="B28" t="s">
        <v>41</v>
      </c>
      <c r="C28" t="s">
        <v>42</v>
      </c>
      <c r="D28" t="s">
        <v>126</v>
      </c>
      <c r="E28" t="s">
        <v>75</v>
      </c>
      <c r="F28">
        <v>4527</v>
      </c>
      <c r="G28">
        <v>-182</v>
      </c>
      <c r="H28">
        <v>-434</v>
      </c>
      <c r="I28">
        <v>585</v>
      </c>
      <c r="J28">
        <v>4496</v>
      </c>
      <c r="K28">
        <f t="shared" si="0"/>
        <v>1</v>
      </c>
    </row>
    <row r="29" spans="1:11" x14ac:dyDescent="0.8">
      <c r="A29" s="10">
        <v>45915</v>
      </c>
      <c r="B29" t="s">
        <v>41</v>
      </c>
      <c r="C29" t="s">
        <v>42</v>
      </c>
      <c r="D29" t="s">
        <v>127</v>
      </c>
      <c r="E29" t="s">
        <v>75</v>
      </c>
      <c r="F29">
        <v>4301</v>
      </c>
      <c r="G29">
        <v>0</v>
      </c>
      <c r="H29">
        <v>-434</v>
      </c>
      <c r="I29">
        <v>430</v>
      </c>
      <c r="J29">
        <v>4297</v>
      </c>
      <c r="K29">
        <f t="shared" si="0"/>
        <v>1</v>
      </c>
    </row>
    <row r="30" spans="1:11" x14ac:dyDescent="0.8">
      <c r="A30" s="10">
        <v>45915</v>
      </c>
      <c r="B30" t="s">
        <v>41</v>
      </c>
      <c r="C30" t="s">
        <v>42</v>
      </c>
      <c r="D30" t="s">
        <v>128</v>
      </c>
      <c r="E30" t="s">
        <v>75</v>
      </c>
      <c r="F30">
        <v>9055</v>
      </c>
      <c r="G30">
        <v>0</v>
      </c>
      <c r="H30">
        <v>-868</v>
      </c>
      <c r="I30">
        <v>805</v>
      </c>
      <c r="J30">
        <v>8992</v>
      </c>
      <c r="K30">
        <f t="shared" si="0"/>
        <v>2</v>
      </c>
    </row>
    <row r="31" spans="1:11" x14ac:dyDescent="0.8">
      <c r="A31" s="10">
        <v>45914</v>
      </c>
      <c r="B31" t="s">
        <v>41</v>
      </c>
      <c r="C31" t="s">
        <v>42</v>
      </c>
      <c r="D31" t="s">
        <v>129</v>
      </c>
      <c r="E31" t="s">
        <v>75</v>
      </c>
      <c r="F31">
        <v>4527</v>
      </c>
      <c r="G31">
        <v>0</v>
      </c>
      <c r="H31">
        <v>-434</v>
      </c>
      <c r="I31">
        <v>403</v>
      </c>
      <c r="J31">
        <v>4496</v>
      </c>
      <c r="K31">
        <f t="shared" si="0"/>
        <v>1</v>
      </c>
    </row>
    <row r="32" spans="1:11" x14ac:dyDescent="0.8">
      <c r="A32" s="10">
        <v>45914</v>
      </c>
      <c r="B32" t="s">
        <v>41</v>
      </c>
      <c r="C32" t="s">
        <v>42</v>
      </c>
      <c r="D32" t="s">
        <v>130</v>
      </c>
      <c r="E32" t="s">
        <v>75</v>
      </c>
      <c r="F32">
        <v>9055</v>
      </c>
      <c r="G32">
        <v>0</v>
      </c>
      <c r="H32">
        <v>-868</v>
      </c>
      <c r="I32">
        <v>805</v>
      </c>
      <c r="J32">
        <v>8992</v>
      </c>
      <c r="K32">
        <f t="shared" si="0"/>
        <v>2</v>
      </c>
    </row>
    <row r="33" spans="1:11" x14ac:dyDescent="0.8">
      <c r="A33" s="10">
        <v>45914</v>
      </c>
      <c r="B33" t="s">
        <v>41</v>
      </c>
      <c r="C33" t="s">
        <v>42</v>
      </c>
      <c r="D33" t="s">
        <v>131</v>
      </c>
      <c r="E33" t="s">
        <v>75</v>
      </c>
      <c r="F33">
        <v>4527</v>
      </c>
      <c r="G33">
        <v>0</v>
      </c>
      <c r="H33">
        <v>-434</v>
      </c>
      <c r="I33">
        <v>403</v>
      </c>
      <c r="J33">
        <v>4496</v>
      </c>
      <c r="K33">
        <f t="shared" si="0"/>
        <v>1</v>
      </c>
    </row>
    <row r="34" spans="1:11" x14ac:dyDescent="0.8">
      <c r="A34" s="10">
        <v>45914</v>
      </c>
      <c r="B34" t="s">
        <v>41</v>
      </c>
      <c r="C34" t="s">
        <v>42</v>
      </c>
      <c r="D34" t="s">
        <v>132</v>
      </c>
      <c r="E34" t="s">
        <v>75</v>
      </c>
      <c r="F34">
        <v>4527</v>
      </c>
      <c r="G34">
        <v>0</v>
      </c>
      <c r="H34">
        <v>-434</v>
      </c>
      <c r="I34">
        <v>403</v>
      </c>
      <c r="J34">
        <v>4496</v>
      </c>
      <c r="K34">
        <f t="shared" si="0"/>
        <v>1</v>
      </c>
    </row>
    <row r="35" spans="1:11" x14ac:dyDescent="0.8">
      <c r="A35" s="10">
        <v>45913</v>
      </c>
      <c r="B35" t="s">
        <v>41</v>
      </c>
      <c r="C35" t="s">
        <v>42</v>
      </c>
      <c r="D35" t="s">
        <v>133</v>
      </c>
      <c r="E35" t="s">
        <v>75</v>
      </c>
      <c r="F35">
        <v>4527</v>
      </c>
      <c r="G35">
        <v>0</v>
      </c>
      <c r="H35">
        <v>-434</v>
      </c>
      <c r="I35">
        <v>403</v>
      </c>
      <c r="J35">
        <v>4496</v>
      </c>
      <c r="K35">
        <f t="shared" si="0"/>
        <v>1</v>
      </c>
    </row>
    <row r="36" spans="1:11" x14ac:dyDescent="0.8">
      <c r="A36" s="10">
        <v>45912</v>
      </c>
      <c r="B36" t="s">
        <v>41</v>
      </c>
      <c r="C36" t="s">
        <v>42</v>
      </c>
      <c r="D36" t="s">
        <v>83</v>
      </c>
      <c r="E36" t="s">
        <v>53</v>
      </c>
      <c r="F36">
        <v>9054</v>
      </c>
      <c r="G36">
        <v>0</v>
      </c>
      <c r="H36">
        <v>-2502</v>
      </c>
      <c r="I36">
        <v>1442</v>
      </c>
      <c r="J36">
        <v>7994</v>
      </c>
      <c r="K36">
        <f t="shared" si="0"/>
        <v>2</v>
      </c>
    </row>
    <row r="37" spans="1:11" x14ac:dyDescent="0.8">
      <c r="A37" s="10">
        <v>45912</v>
      </c>
      <c r="B37" t="s">
        <v>41</v>
      </c>
      <c r="C37" t="s">
        <v>42</v>
      </c>
      <c r="D37" t="s">
        <v>134</v>
      </c>
      <c r="E37" t="s">
        <v>75</v>
      </c>
      <c r="F37">
        <v>9055</v>
      </c>
      <c r="G37">
        <v>0</v>
      </c>
      <c r="H37">
        <v>-868</v>
      </c>
      <c r="I37">
        <v>805</v>
      </c>
      <c r="J37">
        <v>8992</v>
      </c>
      <c r="K37">
        <f t="shared" si="0"/>
        <v>2</v>
      </c>
    </row>
    <row r="38" spans="1:11" x14ac:dyDescent="0.8">
      <c r="A38" s="10">
        <v>45911</v>
      </c>
      <c r="B38" t="s">
        <v>41</v>
      </c>
      <c r="C38" t="s">
        <v>42</v>
      </c>
      <c r="D38" t="s">
        <v>135</v>
      </c>
      <c r="E38" t="s">
        <v>75</v>
      </c>
      <c r="F38">
        <v>4527</v>
      </c>
      <c r="G38">
        <v>0</v>
      </c>
      <c r="H38">
        <v>-434</v>
      </c>
      <c r="I38">
        <v>403</v>
      </c>
      <c r="J38">
        <v>4496</v>
      </c>
      <c r="K38">
        <f t="shared" si="0"/>
        <v>1</v>
      </c>
    </row>
    <row r="39" spans="1:11" x14ac:dyDescent="0.8">
      <c r="A39" s="10">
        <v>45911</v>
      </c>
      <c r="B39" t="s">
        <v>41</v>
      </c>
      <c r="C39" t="s">
        <v>42</v>
      </c>
      <c r="D39" t="s">
        <v>136</v>
      </c>
      <c r="E39" t="s">
        <v>75</v>
      </c>
      <c r="F39">
        <v>4527</v>
      </c>
      <c r="G39">
        <v>0</v>
      </c>
      <c r="H39">
        <v>-434</v>
      </c>
      <c r="I39">
        <v>403</v>
      </c>
      <c r="J39">
        <v>4496</v>
      </c>
      <c r="K39">
        <f t="shared" si="0"/>
        <v>1</v>
      </c>
    </row>
    <row r="40" spans="1:11" x14ac:dyDescent="0.8">
      <c r="A40" s="10">
        <v>45911</v>
      </c>
      <c r="B40" t="s">
        <v>41</v>
      </c>
      <c r="C40" t="s">
        <v>42</v>
      </c>
      <c r="D40" t="s">
        <v>137</v>
      </c>
      <c r="E40" t="s">
        <v>75</v>
      </c>
      <c r="F40">
        <v>4527</v>
      </c>
      <c r="G40">
        <v>0</v>
      </c>
      <c r="H40">
        <v>-788</v>
      </c>
      <c r="I40">
        <v>757</v>
      </c>
      <c r="J40">
        <v>4496</v>
      </c>
      <c r="K40">
        <f t="shared" si="0"/>
        <v>1</v>
      </c>
    </row>
    <row r="41" spans="1:11" x14ac:dyDescent="0.8">
      <c r="A41" s="10">
        <v>45911</v>
      </c>
      <c r="B41" t="s">
        <v>41</v>
      </c>
      <c r="C41" t="s">
        <v>42</v>
      </c>
      <c r="D41" t="s">
        <v>138</v>
      </c>
      <c r="E41" t="s">
        <v>75</v>
      </c>
      <c r="F41">
        <v>4527</v>
      </c>
      <c r="G41">
        <v>0</v>
      </c>
      <c r="H41">
        <v>-434</v>
      </c>
      <c r="I41">
        <v>403</v>
      </c>
      <c r="J41">
        <v>4496</v>
      </c>
      <c r="K41">
        <f t="shared" si="0"/>
        <v>1</v>
      </c>
    </row>
    <row r="42" spans="1:11" x14ac:dyDescent="0.8">
      <c r="A42" s="10">
        <v>45911</v>
      </c>
      <c r="B42" t="s">
        <v>41</v>
      </c>
      <c r="C42" t="s">
        <v>42</v>
      </c>
      <c r="D42" t="s">
        <v>139</v>
      </c>
      <c r="E42" t="s">
        <v>75</v>
      </c>
      <c r="F42">
        <v>18109</v>
      </c>
      <c r="G42">
        <v>0</v>
      </c>
      <c r="H42">
        <v>-1736</v>
      </c>
      <c r="I42">
        <v>1611</v>
      </c>
      <c r="J42">
        <v>17984</v>
      </c>
      <c r="K42">
        <f t="shared" si="0"/>
        <v>4</v>
      </c>
    </row>
    <row r="43" spans="1:11" x14ac:dyDescent="0.8">
      <c r="A43" s="10">
        <v>45910</v>
      </c>
      <c r="B43" t="s">
        <v>41</v>
      </c>
      <c r="C43" t="s">
        <v>42</v>
      </c>
      <c r="D43" t="s">
        <v>140</v>
      </c>
      <c r="E43" t="s">
        <v>75</v>
      </c>
      <c r="F43">
        <v>4527</v>
      </c>
      <c r="G43">
        <v>0</v>
      </c>
      <c r="H43">
        <v>-434</v>
      </c>
      <c r="I43">
        <v>403</v>
      </c>
      <c r="J43">
        <v>4496</v>
      </c>
      <c r="K43">
        <f t="shared" si="0"/>
        <v>1</v>
      </c>
    </row>
    <row r="44" spans="1:11" x14ac:dyDescent="0.8">
      <c r="A44" s="10">
        <v>45910</v>
      </c>
      <c r="B44" t="s">
        <v>41</v>
      </c>
      <c r="C44" t="s">
        <v>54</v>
      </c>
      <c r="D44" t="s">
        <v>55</v>
      </c>
      <c r="E44" t="s">
        <v>57</v>
      </c>
      <c r="F44">
        <v>0</v>
      </c>
      <c r="G44">
        <v>0</v>
      </c>
      <c r="H44">
        <v>-5390</v>
      </c>
      <c r="I44">
        <v>0</v>
      </c>
      <c r="J44">
        <v>-5390</v>
      </c>
    </row>
    <row r="45" spans="1:11" x14ac:dyDescent="0.8">
      <c r="A45" s="10">
        <v>45909</v>
      </c>
      <c r="B45" t="s">
        <v>41</v>
      </c>
      <c r="C45" t="s">
        <v>42</v>
      </c>
      <c r="D45" t="s">
        <v>141</v>
      </c>
      <c r="E45" t="s">
        <v>75</v>
      </c>
      <c r="F45">
        <v>4527</v>
      </c>
      <c r="G45">
        <v>0</v>
      </c>
      <c r="H45">
        <v>-434</v>
      </c>
      <c r="I45">
        <v>403</v>
      </c>
      <c r="J45">
        <v>4496</v>
      </c>
      <c r="K45">
        <f t="shared" si="0"/>
        <v>1</v>
      </c>
    </row>
    <row r="46" spans="1:11" x14ac:dyDescent="0.8">
      <c r="A46" s="10">
        <v>45909</v>
      </c>
      <c r="B46" t="s">
        <v>41</v>
      </c>
      <c r="C46" t="s">
        <v>42</v>
      </c>
      <c r="D46" t="s">
        <v>142</v>
      </c>
      <c r="E46" t="s">
        <v>75</v>
      </c>
      <c r="F46">
        <v>4527</v>
      </c>
      <c r="G46">
        <v>0</v>
      </c>
      <c r="H46">
        <v>-788</v>
      </c>
      <c r="I46">
        <v>757</v>
      </c>
      <c r="J46">
        <v>4496</v>
      </c>
      <c r="K46">
        <f t="shared" si="0"/>
        <v>1</v>
      </c>
    </row>
    <row r="47" spans="1:11" x14ac:dyDescent="0.8">
      <c r="A47" s="10">
        <v>45909</v>
      </c>
      <c r="B47" t="s">
        <v>41</v>
      </c>
      <c r="C47" t="s">
        <v>42</v>
      </c>
      <c r="D47" t="s">
        <v>143</v>
      </c>
      <c r="E47" t="s">
        <v>75</v>
      </c>
      <c r="F47">
        <v>4527</v>
      </c>
      <c r="G47">
        <v>0</v>
      </c>
      <c r="H47">
        <v>-434</v>
      </c>
      <c r="I47">
        <v>403</v>
      </c>
      <c r="J47">
        <v>4496</v>
      </c>
      <c r="K47">
        <f t="shared" si="0"/>
        <v>1</v>
      </c>
    </row>
    <row r="48" spans="1:11" x14ac:dyDescent="0.8">
      <c r="A48" s="10">
        <v>45908</v>
      </c>
      <c r="B48" t="s">
        <v>41</v>
      </c>
      <c r="C48" t="s">
        <v>42</v>
      </c>
      <c r="D48" t="s">
        <v>74</v>
      </c>
      <c r="E48" t="s">
        <v>75</v>
      </c>
      <c r="F48">
        <v>9055</v>
      </c>
      <c r="G48">
        <v>0</v>
      </c>
      <c r="H48">
        <v>-868</v>
      </c>
      <c r="I48">
        <v>805</v>
      </c>
      <c r="J48">
        <v>8992</v>
      </c>
      <c r="K48">
        <f t="shared" si="0"/>
        <v>2</v>
      </c>
    </row>
    <row r="49" spans="1:11" x14ac:dyDescent="0.8">
      <c r="A49" s="10">
        <v>45908</v>
      </c>
      <c r="B49" t="s">
        <v>41</v>
      </c>
      <c r="C49" t="s">
        <v>42</v>
      </c>
      <c r="D49" t="s">
        <v>76</v>
      </c>
      <c r="E49" t="s">
        <v>75</v>
      </c>
      <c r="F49">
        <v>9055</v>
      </c>
      <c r="G49">
        <v>0</v>
      </c>
      <c r="H49">
        <v>-868</v>
      </c>
      <c r="I49">
        <v>805</v>
      </c>
      <c r="J49">
        <v>8992</v>
      </c>
      <c r="K49">
        <f t="shared" si="0"/>
        <v>2</v>
      </c>
    </row>
    <row r="50" spans="1:11" x14ac:dyDescent="0.8">
      <c r="A50" s="10">
        <v>45907</v>
      </c>
      <c r="B50" t="s">
        <v>41</v>
      </c>
      <c r="C50" t="s">
        <v>54</v>
      </c>
      <c r="D50" t="s">
        <v>55</v>
      </c>
      <c r="E50" t="s">
        <v>62</v>
      </c>
      <c r="F50">
        <v>0</v>
      </c>
      <c r="G50">
        <v>0</v>
      </c>
      <c r="H50">
        <v>0</v>
      </c>
      <c r="I50">
        <v>-264</v>
      </c>
      <c r="J50">
        <v>-264</v>
      </c>
    </row>
    <row r="51" spans="1:11" x14ac:dyDescent="0.8">
      <c r="A51" s="10">
        <v>45907</v>
      </c>
      <c r="B51" t="s">
        <v>41</v>
      </c>
      <c r="C51" t="s">
        <v>42</v>
      </c>
      <c r="D51" t="s">
        <v>77</v>
      </c>
      <c r="E51" t="s">
        <v>75</v>
      </c>
      <c r="F51">
        <v>4527</v>
      </c>
      <c r="G51">
        <v>0</v>
      </c>
      <c r="H51">
        <v>-788</v>
      </c>
      <c r="I51">
        <v>757</v>
      </c>
      <c r="J51">
        <v>4496</v>
      </c>
      <c r="K51">
        <f t="shared" si="0"/>
        <v>1</v>
      </c>
    </row>
    <row r="52" spans="1:11" x14ac:dyDescent="0.8">
      <c r="A52" s="10">
        <v>45906</v>
      </c>
      <c r="B52" t="s">
        <v>41</v>
      </c>
      <c r="C52" t="s">
        <v>42</v>
      </c>
      <c r="D52" t="s">
        <v>78</v>
      </c>
      <c r="E52" t="s">
        <v>75</v>
      </c>
      <c r="F52">
        <v>9055</v>
      </c>
      <c r="G52">
        <v>0</v>
      </c>
      <c r="H52">
        <v>-868</v>
      </c>
      <c r="I52">
        <v>805</v>
      </c>
      <c r="J52">
        <v>8992</v>
      </c>
      <c r="K52">
        <f t="shared" si="0"/>
        <v>2</v>
      </c>
    </row>
    <row r="53" spans="1:11" x14ac:dyDescent="0.8">
      <c r="A53" s="10">
        <v>45906</v>
      </c>
      <c r="B53" t="s">
        <v>41</v>
      </c>
      <c r="C53" t="s">
        <v>42</v>
      </c>
      <c r="D53" t="s">
        <v>80</v>
      </c>
      <c r="E53" t="s">
        <v>53</v>
      </c>
      <c r="F53">
        <v>4527</v>
      </c>
      <c r="G53">
        <v>0</v>
      </c>
      <c r="H53">
        <v>-434</v>
      </c>
      <c r="I53">
        <v>403</v>
      </c>
      <c r="J53">
        <v>4496</v>
      </c>
      <c r="K53">
        <f t="shared" si="0"/>
        <v>1</v>
      </c>
    </row>
    <row r="54" spans="1:11" x14ac:dyDescent="0.8">
      <c r="A54" s="10">
        <v>45905</v>
      </c>
      <c r="B54" t="s">
        <v>41</v>
      </c>
      <c r="C54" t="s">
        <v>42</v>
      </c>
      <c r="D54" t="s">
        <v>79</v>
      </c>
      <c r="E54" t="s">
        <v>53</v>
      </c>
      <c r="F54">
        <v>4527</v>
      </c>
      <c r="G54">
        <v>0</v>
      </c>
      <c r="H54">
        <v>-434</v>
      </c>
      <c r="I54">
        <v>403</v>
      </c>
      <c r="J54">
        <v>4496</v>
      </c>
      <c r="K54">
        <f t="shared" si="0"/>
        <v>1</v>
      </c>
    </row>
    <row r="55" spans="1:11" x14ac:dyDescent="0.8">
      <c r="A55" s="10">
        <v>45905</v>
      </c>
      <c r="B55" t="s">
        <v>41</v>
      </c>
      <c r="C55" t="s">
        <v>42</v>
      </c>
      <c r="D55" t="s">
        <v>81</v>
      </c>
      <c r="E55" t="s">
        <v>53</v>
      </c>
      <c r="F55">
        <v>4527</v>
      </c>
      <c r="G55">
        <v>0</v>
      </c>
      <c r="H55">
        <v>-434</v>
      </c>
      <c r="I55">
        <v>403</v>
      </c>
      <c r="J55">
        <v>4496</v>
      </c>
      <c r="K55">
        <f t="shared" si="0"/>
        <v>1</v>
      </c>
    </row>
    <row r="56" spans="1:11" x14ac:dyDescent="0.8">
      <c r="A56" s="10">
        <v>45905</v>
      </c>
      <c r="B56" t="s">
        <v>41</v>
      </c>
      <c r="C56" t="s">
        <v>42</v>
      </c>
      <c r="D56" t="s">
        <v>82</v>
      </c>
      <c r="E56" t="s">
        <v>53</v>
      </c>
      <c r="F56">
        <v>4527</v>
      </c>
      <c r="G56">
        <v>0</v>
      </c>
      <c r="H56">
        <v>-434</v>
      </c>
      <c r="I56">
        <v>403</v>
      </c>
      <c r="J56">
        <v>4496</v>
      </c>
      <c r="K56">
        <f t="shared" si="0"/>
        <v>1</v>
      </c>
    </row>
    <row r="57" spans="1:11" x14ac:dyDescent="0.8">
      <c r="A57" s="10">
        <v>45904</v>
      </c>
      <c r="B57" t="s">
        <v>41</v>
      </c>
      <c r="C57" t="s">
        <v>42</v>
      </c>
      <c r="D57" t="s">
        <v>85</v>
      </c>
      <c r="E57" t="s">
        <v>53</v>
      </c>
      <c r="F57">
        <v>4527</v>
      </c>
      <c r="G57">
        <v>0</v>
      </c>
      <c r="H57">
        <v>-434</v>
      </c>
      <c r="I57">
        <v>403</v>
      </c>
      <c r="J57">
        <v>4496</v>
      </c>
      <c r="K57">
        <f t="shared" si="0"/>
        <v>1</v>
      </c>
    </row>
    <row r="58" spans="1:11" x14ac:dyDescent="0.8">
      <c r="A58" s="10">
        <v>45903</v>
      </c>
      <c r="B58" t="s">
        <v>41</v>
      </c>
      <c r="C58" t="s">
        <v>42</v>
      </c>
      <c r="D58" t="s">
        <v>84</v>
      </c>
      <c r="E58" t="s">
        <v>53</v>
      </c>
      <c r="F58">
        <v>4527</v>
      </c>
      <c r="G58">
        <v>0</v>
      </c>
      <c r="H58">
        <v>-434</v>
      </c>
      <c r="I58">
        <v>403</v>
      </c>
      <c r="J58">
        <v>4496</v>
      </c>
      <c r="K58">
        <f t="shared" si="0"/>
        <v>1</v>
      </c>
    </row>
    <row r="59" spans="1:11" x14ac:dyDescent="0.8">
      <c r="A59" s="10">
        <v>45903</v>
      </c>
      <c r="B59" t="s">
        <v>41</v>
      </c>
      <c r="C59" t="s">
        <v>42</v>
      </c>
      <c r="D59" t="s">
        <v>144</v>
      </c>
      <c r="E59" t="s">
        <v>53</v>
      </c>
      <c r="F59">
        <v>4527</v>
      </c>
      <c r="G59">
        <v>0</v>
      </c>
      <c r="H59">
        <v>-434</v>
      </c>
      <c r="I59">
        <v>403</v>
      </c>
      <c r="J59">
        <v>4496</v>
      </c>
      <c r="K59">
        <f t="shared" si="0"/>
        <v>1</v>
      </c>
    </row>
    <row r="60" spans="1:11" x14ac:dyDescent="0.8">
      <c r="A60" s="10">
        <v>45902</v>
      </c>
      <c r="B60" t="s">
        <v>41</v>
      </c>
      <c r="C60" t="s">
        <v>54</v>
      </c>
      <c r="D60" t="s">
        <v>55</v>
      </c>
      <c r="E60" t="s">
        <v>56</v>
      </c>
      <c r="F60">
        <v>0</v>
      </c>
      <c r="G60">
        <v>0</v>
      </c>
      <c r="H60">
        <v>-44336</v>
      </c>
      <c r="I60">
        <v>0</v>
      </c>
      <c r="J60">
        <v>-44336</v>
      </c>
    </row>
    <row r="61" spans="1:11" x14ac:dyDescent="0.8">
      <c r="A61" s="10">
        <v>45902</v>
      </c>
      <c r="B61" t="s">
        <v>41</v>
      </c>
      <c r="C61" t="s">
        <v>42</v>
      </c>
      <c r="D61" t="s">
        <v>145</v>
      </c>
      <c r="E61" t="s">
        <v>53</v>
      </c>
      <c r="F61">
        <v>4527</v>
      </c>
      <c r="G61">
        <v>0</v>
      </c>
      <c r="H61">
        <v>-434</v>
      </c>
      <c r="I61">
        <v>403</v>
      </c>
      <c r="J61">
        <v>4496</v>
      </c>
      <c r="K61">
        <f t="shared" si="0"/>
        <v>1</v>
      </c>
    </row>
    <row r="62" spans="1:11" x14ac:dyDescent="0.8">
      <c r="A62" s="10">
        <v>45902</v>
      </c>
      <c r="B62" t="s">
        <v>41</v>
      </c>
      <c r="C62" t="s">
        <v>42</v>
      </c>
      <c r="D62" t="s">
        <v>146</v>
      </c>
      <c r="E62" t="s">
        <v>53</v>
      </c>
      <c r="F62">
        <v>4527</v>
      </c>
      <c r="G62">
        <v>0</v>
      </c>
      <c r="H62">
        <v>-434</v>
      </c>
      <c r="I62">
        <v>403</v>
      </c>
      <c r="J62">
        <v>4496</v>
      </c>
      <c r="K62">
        <f t="shared" si="0"/>
        <v>1</v>
      </c>
    </row>
    <row r="63" spans="1:11" x14ac:dyDescent="0.8">
      <c r="A63" s="10">
        <v>45901</v>
      </c>
      <c r="B63" t="s">
        <v>41</v>
      </c>
      <c r="C63" t="s">
        <v>42</v>
      </c>
      <c r="D63" t="s">
        <v>147</v>
      </c>
      <c r="E63" t="s">
        <v>53</v>
      </c>
      <c r="F63">
        <v>4527</v>
      </c>
      <c r="G63">
        <v>0</v>
      </c>
      <c r="H63">
        <v>-434</v>
      </c>
      <c r="I63">
        <v>403</v>
      </c>
      <c r="J63">
        <v>4496</v>
      </c>
      <c r="K63">
        <f t="shared" si="0"/>
        <v>1</v>
      </c>
    </row>
    <row r="64" spans="1:11" x14ac:dyDescent="0.8">
      <c r="A64" s="10">
        <v>45901</v>
      </c>
      <c r="B64" t="s">
        <v>41</v>
      </c>
      <c r="C64" t="s">
        <v>42</v>
      </c>
      <c r="D64" t="s">
        <v>148</v>
      </c>
      <c r="E64" t="s">
        <v>53</v>
      </c>
      <c r="F64">
        <v>4527</v>
      </c>
      <c r="G64">
        <v>0</v>
      </c>
      <c r="H64">
        <v>-434</v>
      </c>
      <c r="I64">
        <v>403</v>
      </c>
      <c r="J64">
        <v>4496</v>
      </c>
      <c r="K64">
        <f t="shared" si="0"/>
        <v>1</v>
      </c>
    </row>
    <row r="65" spans="6:11" ht="79.5" x14ac:dyDescent="0.8">
      <c r="F65" s="21" t="s">
        <v>93</v>
      </c>
      <c r="G65" s="21" t="s">
        <v>90</v>
      </c>
      <c r="H65" s="21" t="s">
        <v>91</v>
      </c>
      <c r="I65" s="21" t="s">
        <v>92</v>
      </c>
    </row>
    <row r="66" spans="6:11" x14ac:dyDescent="0.8">
      <c r="F66">
        <f>ROUND(SUM(F2:F64)/1.1,0)</f>
        <v>300230</v>
      </c>
      <c r="G66">
        <f>ROUND(SUM(G2:G64)/1.1,0)</f>
        <v>-2867</v>
      </c>
      <c r="H66">
        <f>ROUND(SUM(H2:H64)/1.1,0)</f>
        <v>-128258</v>
      </c>
      <c r="I66">
        <f>ROUND(SUM(I2:I64)/1.1,0)</f>
        <v>30985</v>
      </c>
      <c r="J66">
        <f>ROUND(SUM(J2:J64)/1.1,0)</f>
        <v>200089</v>
      </c>
      <c r="K66">
        <f>SUM(K2:K65)</f>
        <v>73</v>
      </c>
    </row>
    <row r="67" spans="6:11" x14ac:dyDescent="0.8">
      <c r="F67" t="s">
        <v>64</v>
      </c>
      <c r="G67" t="s">
        <v>64</v>
      </c>
      <c r="H67" t="s">
        <v>64</v>
      </c>
      <c r="I67" t="s">
        <v>64</v>
      </c>
      <c r="J67" t="s">
        <v>64</v>
      </c>
    </row>
    <row r="68" spans="6:11" x14ac:dyDescent="0.8">
      <c r="G68" t="s">
        <v>86</v>
      </c>
      <c r="H68">
        <v>-5390</v>
      </c>
    </row>
    <row r="69" spans="6:11" x14ac:dyDescent="0.8">
      <c r="G69" t="s">
        <v>87</v>
      </c>
      <c r="H69">
        <f>-44336-55564</f>
        <v>-99900</v>
      </c>
    </row>
    <row r="70" spans="6:11" ht="59.65" x14ac:dyDescent="0.8">
      <c r="G70" s="21" t="s">
        <v>88</v>
      </c>
      <c r="H70">
        <f>H68+H69</f>
        <v>-105290</v>
      </c>
    </row>
    <row r="71" spans="6:11" x14ac:dyDescent="0.8">
      <c r="G71" t="s">
        <v>89</v>
      </c>
      <c r="H71">
        <f>H66-H70</f>
        <v>-22968</v>
      </c>
    </row>
  </sheetData>
  <autoFilter ref="A1:K67" xr:uid="{B4D9AF07-50AC-7F44-B074-C4820E76FF34}"/>
  <sortState xmlns:xlrd2="http://schemas.microsoft.com/office/spreadsheetml/2017/richdata2" ref="A61:K64">
    <sortCondition ref="D61:D64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F8339-C97C-CC4F-9282-8DF7AA38CD35}">
  <dimension ref="A1:K12"/>
  <sheetViews>
    <sheetView workbookViewId="0">
      <selection activeCell="F23" sqref="F23"/>
    </sheetView>
  </sheetViews>
  <sheetFormatPr defaultColWidth="10.6640625" defaultRowHeight="19.899999999999999" x14ac:dyDescent="0.8"/>
  <sheetData>
    <row r="1" spans="1:11" x14ac:dyDescent="0.8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s="18" t="s">
        <v>61</v>
      </c>
    </row>
    <row r="2" spans="1:11" x14ac:dyDescent="0.8">
      <c r="A2" s="10">
        <v>45930</v>
      </c>
      <c r="B2" t="s">
        <v>63</v>
      </c>
      <c r="C2" t="s">
        <v>42</v>
      </c>
      <c r="D2" t="s">
        <v>149</v>
      </c>
      <c r="E2" t="s">
        <v>101</v>
      </c>
      <c r="F2">
        <v>4527</v>
      </c>
      <c r="G2">
        <v>0</v>
      </c>
      <c r="H2">
        <v>-1248</v>
      </c>
      <c r="I2">
        <v>403</v>
      </c>
      <c r="J2">
        <v>3682</v>
      </c>
      <c r="K2" t="e">
        <v>#N/A</v>
      </c>
    </row>
    <row r="3" spans="1:11" x14ac:dyDescent="0.8">
      <c r="A3" s="10">
        <v>45929</v>
      </c>
      <c r="B3" t="s">
        <v>63</v>
      </c>
      <c r="C3" t="s">
        <v>42</v>
      </c>
      <c r="D3" t="s">
        <v>150</v>
      </c>
      <c r="E3" t="s">
        <v>101</v>
      </c>
      <c r="F3">
        <v>4527</v>
      </c>
      <c r="G3">
        <v>0</v>
      </c>
      <c r="H3">
        <v>-1248</v>
      </c>
      <c r="I3">
        <v>403</v>
      </c>
      <c r="J3">
        <v>3682</v>
      </c>
      <c r="K3" t="e">
        <v>#N/A</v>
      </c>
    </row>
    <row r="4" spans="1:11" x14ac:dyDescent="0.8">
      <c r="A4" s="10">
        <v>45929</v>
      </c>
      <c r="B4" t="s">
        <v>63</v>
      </c>
      <c r="C4" t="s">
        <v>42</v>
      </c>
      <c r="D4" t="s">
        <v>151</v>
      </c>
      <c r="E4" t="s">
        <v>101</v>
      </c>
      <c r="F4">
        <v>4527</v>
      </c>
      <c r="G4">
        <v>0</v>
      </c>
      <c r="H4">
        <v>-1248</v>
      </c>
      <c r="I4">
        <v>403</v>
      </c>
      <c r="J4">
        <v>3682</v>
      </c>
      <c r="K4" t="e">
        <v>#N/A</v>
      </c>
    </row>
    <row r="5" spans="1:11" x14ac:dyDescent="0.8">
      <c r="A5" s="10">
        <v>45927</v>
      </c>
      <c r="B5" t="s">
        <v>63</v>
      </c>
      <c r="C5" t="s">
        <v>42</v>
      </c>
      <c r="D5" t="s">
        <v>152</v>
      </c>
      <c r="E5" t="s">
        <v>101</v>
      </c>
      <c r="F5">
        <v>4527</v>
      </c>
      <c r="G5">
        <v>0</v>
      </c>
      <c r="H5">
        <v>-1248</v>
      </c>
      <c r="I5">
        <v>403</v>
      </c>
      <c r="J5">
        <v>3682</v>
      </c>
      <c r="K5" t="e">
        <v>#N/A</v>
      </c>
    </row>
    <row r="6" spans="1:11" x14ac:dyDescent="0.8">
      <c r="A6" s="10">
        <v>45927</v>
      </c>
      <c r="B6" t="s">
        <v>63</v>
      </c>
      <c r="C6" t="s">
        <v>42</v>
      </c>
      <c r="D6" t="s">
        <v>153</v>
      </c>
      <c r="E6" t="s">
        <v>101</v>
      </c>
      <c r="F6">
        <v>4527</v>
      </c>
      <c r="G6">
        <v>0</v>
      </c>
      <c r="H6">
        <v>-1248</v>
      </c>
      <c r="I6">
        <v>403</v>
      </c>
      <c r="J6">
        <v>3682</v>
      </c>
      <c r="K6" t="e">
        <v>#N/A</v>
      </c>
    </row>
    <row r="7" spans="1:11" x14ac:dyDescent="0.8">
      <c r="A7" s="10">
        <v>45926</v>
      </c>
      <c r="B7" t="s">
        <v>63</v>
      </c>
      <c r="C7" t="s">
        <v>42</v>
      </c>
      <c r="D7" t="s">
        <v>154</v>
      </c>
      <c r="E7" t="s">
        <v>101</v>
      </c>
      <c r="F7">
        <v>4527</v>
      </c>
      <c r="G7">
        <v>0</v>
      </c>
      <c r="H7">
        <v>-509</v>
      </c>
      <c r="I7">
        <v>403</v>
      </c>
      <c r="J7">
        <v>4421</v>
      </c>
      <c r="K7" t="e">
        <v>#N/A</v>
      </c>
    </row>
    <row r="8" spans="1:11" x14ac:dyDescent="0.8">
      <c r="A8" s="10">
        <v>45926</v>
      </c>
      <c r="B8" t="s">
        <v>63</v>
      </c>
      <c r="C8" t="s">
        <v>42</v>
      </c>
      <c r="D8" t="s">
        <v>155</v>
      </c>
      <c r="E8" t="s">
        <v>101</v>
      </c>
      <c r="F8">
        <v>9055</v>
      </c>
      <c r="G8">
        <v>0</v>
      </c>
      <c r="H8">
        <v>-2496</v>
      </c>
      <c r="I8">
        <v>805</v>
      </c>
      <c r="J8">
        <v>7364</v>
      </c>
      <c r="K8" t="e">
        <v>#N/A</v>
      </c>
    </row>
    <row r="9" spans="1:11" x14ac:dyDescent="0.8">
      <c r="A9" s="10">
        <v>45925</v>
      </c>
      <c r="B9" t="s">
        <v>63</v>
      </c>
      <c r="C9" t="s">
        <v>42</v>
      </c>
      <c r="D9" t="s">
        <v>156</v>
      </c>
      <c r="E9" t="s">
        <v>101</v>
      </c>
      <c r="F9">
        <v>9054</v>
      </c>
      <c r="G9">
        <v>-1418</v>
      </c>
      <c r="H9">
        <v>-2346</v>
      </c>
      <c r="I9">
        <v>1318</v>
      </c>
      <c r="J9">
        <v>6608</v>
      </c>
      <c r="K9" t="e">
        <v>#N/A</v>
      </c>
    </row>
    <row r="10" spans="1:11" x14ac:dyDescent="0.8">
      <c r="A10" s="10"/>
    </row>
    <row r="11" spans="1:11" x14ac:dyDescent="0.8">
      <c r="A11" s="10"/>
    </row>
    <row r="12" spans="1:11" x14ac:dyDescent="0.8">
      <c r="A12" s="10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9" t="s">
        <v>19</v>
      </c>
    </row>
    <row r="2" spans="1:13" x14ac:dyDescent="0.8">
      <c r="A2" s="10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9">
        <f t="shared" si="0"/>
        <v>3.6885245901639344E-2</v>
      </c>
    </row>
    <row r="4" spans="1:13" x14ac:dyDescent="0.8">
      <c r="A4" s="10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9">
        <f t="shared" si="0"/>
        <v>3.683953584438019E-2</v>
      </c>
    </row>
    <row r="5" spans="1:13" x14ac:dyDescent="0.8">
      <c r="A5" s="10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9">
        <f t="shared" si="0"/>
        <v>3.6825461593389779E-2</v>
      </c>
    </row>
    <row r="6" spans="1:13" x14ac:dyDescent="0.8">
      <c r="A6" s="10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9">
        <f t="shared" si="0"/>
        <v>3.718177377395572E-2</v>
      </c>
    </row>
    <row r="7" spans="1:13" x14ac:dyDescent="0.8">
      <c r="A7" s="10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9">
        <f t="shared" si="0"/>
        <v>3.7838694971358347E-2</v>
      </c>
    </row>
    <row r="8" spans="1:13" x14ac:dyDescent="0.8">
      <c r="A8" s="10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9">
        <f t="shared" si="0"/>
        <v>3.6861506055818852E-2</v>
      </c>
    </row>
    <row r="9" spans="1:13" x14ac:dyDescent="0.8">
      <c r="A9" s="10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9">
        <f t="shared" si="0"/>
        <v>3.6818851251840944E-2</v>
      </c>
    </row>
    <row r="10" spans="1:13" x14ac:dyDescent="0.8">
      <c r="A10" s="10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9">
        <f t="shared" si="0"/>
        <v>3.6831401917427932E-2</v>
      </c>
    </row>
    <row r="11" spans="1:13" x14ac:dyDescent="0.8">
      <c r="A11" s="10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9">
        <f t="shared" si="0"/>
        <v>3.6838729468194872E-2</v>
      </c>
    </row>
    <row r="12" spans="1:13" x14ac:dyDescent="0.8">
      <c r="A12" s="10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9">
        <f t="shared" si="0"/>
        <v>3.7946428571428568E-2</v>
      </c>
    </row>
    <row r="13" spans="1:13" x14ac:dyDescent="0.8">
      <c r="A13" s="10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9">
        <f t="shared" si="0"/>
        <v>3.6885245901639344E-2</v>
      </c>
    </row>
    <row r="14" spans="1:13" x14ac:dyDescent="0.8">
      <c r="A14" s="10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9">
        <f t="shared" si="0"/>
        <v>3.7091401795291593E-2</v>
      </c>
    </row>
    <row r="15" spans="1:13" x14ac:dyDescent="0.8">
      <c r="A15" s="10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9">
        <f t="shared" si="0"/>
        <v>3.6808633648101753E-2</v>
      </c>
    </row>
    <row r="16" spans="1:13" x14ac:dyDescent="0.8">
      <c r="A16" s="10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9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レヴェニューシェア資料</vt:lpstr>
      <vt:lpstr>Amazon詳細</vt:lpstr>
      <vt:lpstr>留保中10月請求時確認</vt:lpstr>
      <vt:lpstr>shopify手数料試算</vt:lpstr>
      <vt:lpstr>レヴェニューシェア資料!Print_Area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2025-10-04T04:46:21Z</cp:lastPrinted>
  <dcterms:created xsi:type="dcterms:W3CDTF">2025-01-24T08:40:17Z</dcterms:created>
  <dcterms:modified xsi:type="dcterms:W3CDTF">2026-03-25T01:40:52Z</dcterms:modified>
</cp:coreProperties>
</file>