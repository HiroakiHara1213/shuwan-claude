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6518c6b5c05abe/デスクトップ/酒碗/"/>
    </mc:Choice>
  </mc:AlternateContent>
  <xr:revisionPtr revIDLastSave="0" documentId="8_{4BCA77D0-A932-4EC9-B2F1-4CE956C24E40}" xr6:coauthVersionLast="47" xr6:coauthVersionMax="47" xr10:uidLastSave="{00000000-0000-0000-0000-000000000000}"/>
  <bookViews>
    <workbookView xWindow="-98" yWindow="-98" windowWidth="21795" windowHeight="14235" xr2:uid="{9516FBB4-3A9B-6D45-85D3-EE0B367FE07A}"/>
  </bookViews>
  <sheets>
    <sheet name="レヴェニューシェア資料" sheetId="2" r:id="rId1"/>
    <sheet name="Amazon詳細" sheetId="5" r:id="rId2"/>
    <sheet name="shopify手数料試算" sheetId="3" r:id="rId3"/>
  </sheets>
  <definedNames>
    <definedName name="_xlnm._FilterDatabase" localSheetId="1" hidden="1">Amazon詳細!$A$1:$K$54</definedName>
    <definedName name="payment_transactions_export_1__2" localSheetId="2">shopify手数料試算!#REF!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7" i="2"/>
  <c r="D7" i="2"/>
  <c r="D19" i="2"/>
  <c r="D5" i="2"/>
  <c r="D13" i="2"/>
  <c r="D14" i="2"/>
  <c r="D12" i="2"/>
  <c r="D11" i="2"/>
  <c r="D10" i="2"/>
  <c r="J31" i="5"/>
  <c r="J30" i="5"/>
  <c r="I30" i="5"/>
  <c r="H31" i="5"/>
  <c r="F30" i="5"/>
  <c r="G30" i="5"/>
  <c r="H30" i="5"/>
  <c r="K30" i="5"/>
  <c r="D15" i="2" l="1"/>
  <c r="B28" i="2" s="1"/>
  <c r="B10" i="2"/>
  <c r="C7" i="2"/>
  <c r="D6" i="2"/>
  <c r="D3" i="2"/>
  <c r="D22" i="2" s="1"/>
  <c r="C20" i="2" l="1"/>
  <c r="C19" i="2"/>
  <c r="D4" i="2"/>
  <c r="C21" i="2" l="1"/>
  <c r="I17" i="3"/>
  <c r="M17" i="3" s="1"/>
  <c r="K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B21" i="2"/>
  <c r="B26" i="2" l="1"/>
  <c r="D20" i="2"/>
  <c r="D21" i="2"/>
  <c r="D23" i="2" l="1"/>
  <c r="B30" i="2" l="1"/>
  <c r="B31" i="2" l="1"/>
</calcChain>
</file>

<file path=xl/sharedStrings.xml><?xml version="1.0" encoding="utf-8"?>
<sst xmlns="http://schemas.openxmlformats.org/spreadsheetml/2006/main" count="217" uniqueCount="96">
  <si>
    <t>限界利益</t>
    <rPh sb="0" eb="4">
      <t xml:space="preserve">ゲンカイリエキ </t>
    </rPh>
    <phoneticPr fontId="1"/>
  </si>
  <si>
    <t>シンクロ(60%)</t>
    <phoneticPr fontId="1"/>
  </si>
  <si>
    <t>項目</t>
    <rPh sb="0" eb="2">
      <t xml:space="preserve">コウモク </t>
    </rPh>
    <phoneticPr fontId="1"/>
  </si>
  <si>
    <t>数量</t>
    <rPh sb="0" eb="2">
      <t xml:space="preserve">スウリョウ </t>
    </rPh>
    <phoneticPr fontId="1"/>
  </si>
  <si>
    <t>変動費</t>
    <rPh sb="0" eb="3">
      <t xml:space="preserve">ヘンドウヒ </t>
    </rPh>
    <phoneticPr fontId="1"/>
  </si>
  <si>
    <t>単価</t>
    <rPh sb="0" eb="2">
      <t xml:space="preserve">タンカ </t>
    </rPh>
    <phoneticPr fontId="1"/>
  </si>
  <si>
    <t>箱</t>
    <rPh sb="0" eb="1">
      <t xml:space="preserve">ハコ </t>
    </rPh>
    <phoneticPr fontId="1"/>
  </si>
  <si>
    <t>作家ロイヤリティ</t>
    <rPh sb="0" eb="2">
      <t xml:space="preserve">サッカ </t>
    </rPh>
    <phoneticPr fontId="1"/>
  </si>
  <si>
    <t>金額</t>
    <rPh sb="0" eb="2">
      <t xml:space="preserve">キンガク </t>
    </rPh>
    <phoneticPr fontId="1"/>
  </si>
  <si>
    <t>SHUWAN原価</t>
    <rPh sb="0" eb="2">
      <t xml:space="preserve">ゲンカ </t>
    </rPh>
    <phoneticPr fontId="1"/>
  </si>
  <si>
    <t>対象売上金額合計</t>
    <rPh sb="0" eb="2">
      <t xml:space="preserve">タイショウ </t>
    </rPh>
    <rPh sb="2" eb="4">
      <t xml:space="preserve">ウリアゲ </t>
    </rPh>
    <rPh sb="4" eb="6">
      <t xml:space="preserve">キンガク </t>
    </rPh>
    <rPh sb="6" eb="8">
      <t xml:space="preserve">ゴウケイ </t>
    </rPh>
    <phoneticPr fontId="1"/>
  </si>
  <si>
    <t>変動費合計</t>
    <rPh sb="0" eb="3">
      <t xml:space="preserve">ヘンドウヒ </t>
    </rPh>
    <rPh sb="3" eb="5">
      <t xml:space="preserve">ゴウケイ </t>
    </rPh>
    <phoneticPr fontId="1"/>
  </si>
  <si>
    <t>住吉酒販(40%)</t>
    <rPh sb="0" eb="4">
      <t xml:space="preserve">スミヨシシュハン </t>
    </rPh>
    <phoneticPr fontId="1"/>
  </si>
  <si>
    <t>売上</t>
    <rPh sb="0" eb="2">
      <t xml:space="preserve">ウリアゲ </t>
    </rPh>
    <phoneticPr fontId="1"/>
  </si>
  <si>
    <t>小計</t>
    <rPh sb="0" eb="2">
      <t xml:space="preserve">ショウケイ </t>
    </rPh>
    <phoneticPr fontId="1"/>
  </si>
  <si>
    <t>＊金額は税抜</t>
    <rPh sb="4" eb="6">
      <t xml:space="preserve">ゼイヌキ </t>
    </rPh>
    <phoneticPr fontId="1"/>
  </si>
  <si>
    <t>合計</t>
    <rPh sb="0" eb="2">
      <t xml:space="preserve">ゴウケイ </t>
    </rPh>
    <phoneticPr fontId="1"/>
  </si>
  <si>
    <t>JPY</t>
  </si>
  <si>
    <t>paid</t>
  </si>
  <si>
    <t>手数料率</t>
    <rPh sb="0" eb="4">
      <t xml:space="preserve">テスウリョウリツ </t>
    </rPh>
    <phoneticPr fontId="1"/>
  </si>
  <si>
    <t>Currency</t>
  </si>
  <si>
    <t>Total</t>
  </si>
  <si>
    <t>Retried Amount</t>
  </si>
  <si>
    <t>Fees</t>
  </si>
  <si>
    <t>Reserved Funds</t>
  </si>
  <si>
    <t>Advances</t>
  </si>
  <si>
    <t>Marketplace Sales Tax</t>
  </si>
  <si>
    <t>Adjustments</t>
  </si>
  <si>
    <t>Refunds</t>
  </si>
  <si>
    <t>Charges</t>
  </si>
  <si>
    <t>Status</t>
  </si>
  <si>
    <t>Payout Date</t>
  </si>
  <si>
    <t>オンラインショップ</t>
    <rPh sb="0" eb="2">
      <t>オンラインショップ</t>
    </rPh>
    <phoneticPr fontId="1"/>
  </si>
  <si>
    <t>備考</t>
    <rPh sb="0" eb="2">
      <t xml:space="preserve">ビコウ </t>
    </rPh>
    <phoneticPr fontId="1"/>
  </si>
  <si>
    <t>売上合計</t>
    <rPh sb="0" eb="1">
      <t xml:space="preserve">ウリアゲ </t>
    </rPh>
    <rPh sb="2" eb="4">
      <t xml:space="preserve">ゴウケイ </t>
    </rPh>
    <phoneticPr fontId="1"/>
  </si>
  <si>
    <t>変動費 計</t>
    <phoneticPr fontId="1"/>
  </si>
  <si>
    <t>オンラインショップ手数料</t>
    <rPh sb="9" eb="12">
      <t xml:space="preserve">テスウリョウ </t>
    </rPh>
    <phoneticPr fontId="1"/>
  </si>
  <si>
    <t>一般(箱あり)</t>
    <rPh sb="0" eb="2">
      <t xml:space="preserve">イッパン </t>
    </rPh>
    <rPh sb="3" eb="4">
      <t xml:space="preserve">ハコアリ </t>
    </rPh>
    <phoneticPr fontId="1"/>
  </si>
  <si>
    <t>SHUWAN販売合計金額</t>
    <rPh sb="6" eb="8">
      <t xml:space="preserve">ハンバイ </t>
    </rPh>
    <rPh sb="8" eb="10">
      <t xml:space="preserve">ゴウケイ </t>
    </rPh>
    <rPh sb="10" eb="12">
      <t xml:space="preserve">キンガク </t>
    </rPh>
    <phoneticPr fontId="1"/>
  </si>
  <si>
    <t>プロモーション割引合計</t>
    <phoneticPr fontId="1"/>
  </si>
  <si>
    <t>Amazon手数料</t>
    <phoneticPr fontId="1"/>
  </si>
  <si>
    <t>その他</t>
    <phoneticPr fontId="1"/>
  </si>
  <si>
    <t>AMAZON収支</t>
    <rPh sb="6" eb="8">
      <t xml:space="preserve">シュウシ </t>
    </rPh>
    <phoneticPr fontId="1"/>
  </si>
  <si>
    <t>Amazon</t>
    <rPh sb="0" eb="3">
      <t>Amazon</t>
    </rPh>
    <phoneticPr fontId="1"/>
  </si>
  <si>
    <t>支払い実行済み</t>
  </si>
  <si>
    <t>注文に対する支払い</t>
  </si>
  <si>
    <t>留保中</t>
  </si>
  <si>
    <t>日付</t>
  </si>
  <si>
    <t>トランザクションステータス</t>
  </si>
  <si>
    <t>トランザクションの種類</t>
  </si>
  <si>
    <t>注文番号</t>
  </si>
  <si>
    <t>商品の詳細</t>
  </si>
  <si>
    <t>商品価格合計</t>
  </si>
  <si>
    <t>プロモーション割引合計</t>
  </si>
  <si>
    <t>Amazon手数料</t>
  </si>
  <si>
    <t>その他</t>
  </si>
  <si>
    <t>合計 (JPY)</t>
  </si>
  <si>
    <t>SHUWAN 正規品 公式 日本酒グラス, 酒器,270ml, 磁器,食洗機対応...</t>
  </si>
  <si>
    <t>サービス料金</t>
  </si>
  <si>
    <t>---</t>
  </si>
  <si>
    <t>広告費用</t>
  </si>
  <si>
    <t>月額登録料：</t>
  </si>
  <si>
    <t>〃</t>
    <phoneticPr fontId="1"/>
  </si>
  <si>
    <t>その他費用</t>
    <phoneticPr fontId="1"/>
  </si>
  <si>
    <t>広告費用/月額登録料</t>
    <phoneticPr fontId="1"/>
  </si>
  <si>
    <t>SHUWAN箱あり</t>
    <rPh sb="6" eb="7">
      <t xml:space="preserve">ハコアリ </t>
    </rPh>
    <phoneticPr fontId="1"/>
  </si>
  <si>
    <t>503-9060389-6981446</t>
  </si>
  <si>
    <t>503-6147644-9362257</t>
  </si>
  <si>
    <t>249-7107971-4467008</t>
  </si>
  <si>
    <t>250-7095713-9144632</t>
  </si>
  <si>
    <t>503-6791052-0732656</t>
  </si>
  <si>
    <t>249-0903833-0570210</t>
  </si>
  <si>
    <t>250-5056710-8812639</t>
  </si>
  <si>
    <t>250-9596877-2413460</t>
  </si>
  <si>
    <t>503-8147131-3275054</t>
  </si>
  <si>
    <t>250-8023667-8308632</t>
  </si>
  <si>
    <t>503-7264925-2358211</t>
  </si>
  <si>
    <t>249-8026973-7266257</t>
  </si>
  <si>
    <t>503-8646266-4704665</t>
  </si>
  <si>
    <t>503-6492175-5584665</t>
  </si>
  <si>
    <t>249-4394086-3754267</t>
  </si>
  <si>
    <t>250-9539292-3960602</t>
  </si>
  <si>
    <t>503-2599590-3458268</t>
  </si>
  <si>
    <t>503-2711034-1803002</t>
  </si>
  <si>
    <t>503-9804760-8222261</t>
  </si>
  <si>
    <t>503-6513308-4508632</t>
  </si>
  <si>
    <t>249-0074284-2033440</t>
  </si>
  <si>
    <t>250-5381179-7002214</t>
  </si>
  <si>
    <t>503-5844070-8670224</t>
  </si>
  <si>
    <t>返金</t>
  </si>
  <si>
    <t>販売数量</t>
    <rPh sb="0" eb="2">
      <t xml:space="preserve">ハンバイ </t>
    </rPh>
    <rPh sb="2" eb="4">
      <t xml:space="preserve">スウリョウ </t>
    </rPh>
    <phoneticPr fontId="5"/>
  </si>
  <si>
    <t>広告費用+月額登録料</t>
    <rPh sb="0" eb="4">
      <t xml:space="preserve">コウコクヒヨウ </t>
    </rPh>
    <rPh sb="5" eb="7">
      <t xml:space="preserve">ゲツガク </t>
    </rPh>
    <rPh sb="7" eb="9">
      <t xml:space="preserve">トウロク </t>
    </rPh>
    <rPh sb="9" eb="10">
      <t xml:space="preserve">リョウ </t>
    </rPh>
    <phoneticPr fontId="1"/>
  </si>
  <si>
    <t>販売費用</t>
    <rPh sb="0" eb="2">
      <t xml:space="preserve">ハンバイ </t>
    </rPh>
    <rPh sb="2" eb="4">
      <t xml:space="preserve">ヒヨウ </t>
    </rPh>
    <phoneticPr fontId="1"/>
  </si>
  <si>
    <t>新潟 長谷川屋</t>
    <phoneticPr fontId="1"/>
  </si>
  <si>
    <t>HK V3W (香港の酒販店)</t>
    <rPh sb="8" eb="10">
      <t xml:space="preserve">ホンコン </t>
    </rPh>
    <rPh sb="11" eb="14">
      <t xml:space="preserve">シュハンテン </t>
    </rPh>
    <phoneticPr fontId="1"/>
  </si>
  <si>
    <t>(税込)</t>
    <rPh sb="1" eb="3">
      <t xml:space="preserve">ゼイコミ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</si>
</sst>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6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5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  <font>
      <b/>
      <sz val="12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6" fontId="4" fillId="0" borderId="1" xfId="2" applyFont="1" applyBorder="1">
      <alignment vertical="center"/>
    </xf>
    <xf numFmtId="38" fontId="4" fillId="0" borderId="1" xfId="1" applyFont="1" applyBorder="1">
      <alignment vertical="center"/>
    </xf>
    <xf numFmtId="0" fontId="4" fillId="0" borderId="0" xfId="0" applyFont="1">
      <alignment vertical="center"/>
    </xf>
    <xf numFmtId="6" fontId="4" fillId="0" borderId="0" xfId="2" applyFont="1" applyBorder="1">
      <alignment vertical="center"/>
    </xf>
    <xf numFmtId="6" fontId="4" fillId="0" borderId="0" xfId="2" applyFont="1">
      <alignment vertical="center"/>
    </xf>
    <xf numFmtId="6" fontId="4" fillId="0" borderId="1" xfId="0" applyNumberFormat="1" applyFont="1" applyBorder="1">
      <alignment vertical="center"/>
    </xf>
    <xf numFmtId="10" fontId="0" fillId="0" borderId="0" xfId="3" applyNumberFormat="1" applyFont="1">
      <alignment vertical="center"/>
    </xf>
    <xf numFmtId="14" fontId="0" fillId="0" borderId="0" xfId="0" applyNumberFormat="1">
      <alignment vertical="center"/>
    </xf>
    <xf numFmtId="6" fontId="4" fillId="0" borderId="2" xfId="2" applyFont="1" applyFill="1" applyBorder="1">
      <alignment vertical="center"/>
    </xf>
    <xf numFmtId="38" fontId="4" fillId="0" borderId="2" xfId="1" applyFont="1" applyFill="1" applyBorder="1">
      <alignment vertical="center"/>
    </xf>
    <xf numFmtId="0" fontId="4" fillId="0" borderId="2" xfId="0" applyFont="1" applyBorder="1">
      <alignment vertical="center"/>
    </xf>
    <xf numFmtId="38" fontId="4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10" fontId="3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6" fontId="4" fillId="0" borderId="1" xfId="2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>
      <alignment vertical="center"/>
    </xf>
    <xf numFmtId="6" fontId="4" fillId="2" borderId="1" xfId="2" applyFont="1" applyFill="1" applyBorder="1">
      <alignment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6A28-B236-6144-8289-713B8B8327FB}">
  <dimension ref="A1:E33"/>
  <sheetViews>
    <sheetView tabSelected="1" workbookViewId="0">
      <selection activeCell="C5" sqref="C5"/>
    </sheetView>
  </sheetViews>
  <sheetFormatPr defaultColWidth="10.71875" defaultRowHeight="24.4" x14ac:dyDescent="0.8"/>
  <cols>
    <col min="1" max="1" width="29" style="1" bestFit="1" customWidth="1"/>
    <col min="2" max="2" width="10.5546875" style="1" bestFit="1" customWidth="1"/>
    <col min="3" max="3" width="6" style="1" bestFit="1" customWidth="1"/>
    <col min="4" max="4" width="10.5546875" style="1" bestFit="1" customWidth="1"/>
    <col min="5" max="5" width="25.27734375" style="1" bestFit="1" customWidth="1"/>
    <col min="6" max="16384" width="10.71875" style="1"/>
  </cols>
  <sheetData>
    <row r="1" spans="1:5" x14ac:dyDescent="0.8">
      <c r="A1" s="1" t="s">
        <v>13</v>
      </c>
    </row>
    <row r="2" spans="1:5" x14ac:dyDescent="0.8">
      <c r="A2" s="2" t="s">
        <v>2</v>
      </c>
      <c r="B2" s="2" t="s">
        <v>5</v>
      </c>
      <c r="C2" s="2" t="s">
        <v>3</v>
      </c>
      <c r="D2" s="2" t="s">
        <v>14</v>
      </c>
      <c r="E2" s="15" t="s">
        <v>33</v>
      </c>
    </row>
    <row r="3" spans="1:5" x14ac:dyDescent="0.8">
      <c r="A3" s="2" t="s">
        <v>32</v>
      </c>
      <c r="B3" s="3">
        <v>3600</v>
      </c>
      <c r="C3" s="4">
        <v>61</v>
      </c>
      <c r="D3" s="3">
        <f>C3*B3</f>
        <v>219600</v>
      </c>
      <c r="E3" s="15"/>
    </row>
    <row r="4" spans="1:5" x14ac:dyDescent="0.8">
      <c r="A4" s="2" t="s">
        <v>65</v>
      </c>
      <c r="B4" s="3">
        <v>2216</v>
      </c>
      <c r="C4" s="4">
        <v>32</v>
      </c>
      <c r="D4" s="3">
        <f>C4*B4</f>
        <v>70912</v>
      </c>
      <c r="E4" s="21" t="s">
        <v>94</v>
      </c>
    </row>
    <row r="5" spans="1:5" x14ac:dyDescent="0.8">
      <c r="A5" s="2" t="s">
        <v>65</v>
      </c>
      <c r="B5" s="3">
        <v>2880</v>
      </c>
      <c r="C5" s="4">
        <v>8</v>
      </c>
      <c r="D5" s="3">
        <f>C5*B5</f>
        <v>23040</v>
      </c>
      <c r="E5" s="21" t="s">
        <v>93</v>
      </c>
    </row>
    <row r="6" spans="1:5" x14ac:dyDescent="0.8">
      <c r="A6" s="2" t="s">
        <v>37</v>
      </c>
      <c r="B6" s="3">
        <v>3600</v>
      </c>
      <c r="C6" s="14">
        <v>0</v>
      </c>
      <c r="D6" s="3">
        <f>C6*B6</f>
        <v>0</v>
      </c>
      <c r="E6" s="15"/>
    </row>
    <row r="7" spans="1:5" x14ac:dyDescent="0.8">
      <c r="A7" s="2" t="s">
        <v>34</v>
      </c>
      <c r="B7" s="11"/>
      <c r="C7" s="14">
        <f>SUM(C3:C6)</f>
        <v>101</v>
      </c>
      <c r="D7" s="3">
        <f>SUM(D3:D6)</f>
        <v>313552</v>
      </c>
      <c r="E7" s="15"/>
    </row>
    <row r="8" spans="1:5" x14ac:dyDescent="0.8">
      <c r="A8" s="5"/>
      <c r="B8" s="5"/>
      <c r="C8" s="5"/>
      <c r="D8" s="6"/>
    </row>
    <row r="9" spans="1:5" x14ac:dyDescent="0.8">
      <c r="A9" s="2" t="s">
        <v>43</v>
      </c>
      <c r="B9" s="2" t="s">
        <v>5</v>
      </c>
      <c r="C9" s="2" t="s">
        <v>3</v>
      </c>
      <c r="D9" s="2" t="s">
        <v>14</v>
      </c>
      <c r="E9" s="15" t="s">
        <v>33</v>
      </c>
    </row>
    <row r="10" spans="1:5" x14ac:dyDescent="0.8">
      <c r="A10" s="2" t="s">
        <v>38</v>
      </c>
      <c r="B10" s="2">
        <f>ROUND(D10/C10,0)</f>
        <v>3868</v>
      </c>
      <c r="C10" s="2">
        <v>36</v>
      </c>
      <c r="D10" s="3">
        <f>ROUND(153174/1.1,0)</f>
        <v>139249</v>
      </c>
      <c r="E10" s="15"/>
    </row>
    <row r="11" spans="1:5" x14ac:dyDescent="0.8">
      <c r="A11" s="2" t="s">
        <v>39</v>
      </c>
      <c r="B11" s="11"/>
      <c r="C11" s="11"/>
      <c r="D11" s="3">
        <f>ROUND(8704/1.1,0)</f>
        <v>7913</v>
      </c>
      <c r="E11" s="15" t="s">
        <v>62</v>
      </c>
    </row>
    <row r="12" spans="1:5" x14ac:dyDescent="0.8">
      <c r="A12" s="2" t="s">
        <v>40</v>
      </c>
      <c r="B12" s="11"/>
      <c r="C12" s="11"/>
      <c r="D12" s="3">
        <f>ROUND(30814/1.1,0)</f>
        <v>28013</v>
      </c>
      <c r="E12" s="15" t="s">
        <v>62</v>
      </c>
    </row>
    <row r="13" spans="1:5" x14ac:dyDescent="0.8">
      <c r="A13" s="2" t="s">
        <v>41</v>
      </c>
      <c r="B13" s="11"/>
      <c r="C13" s="11"/>
      <c r="D13" s="3">
        <f>ROUND(-15675/1.1,0)</f>
        <v>-14250</v>
      </c>
      <c r="E13" s="15"/>
    </row>
    <row r="14" spans="1:5" x14ac:dyDescent="0.8">
      <c r="A14" s="2" t="s">
        <v>63</v>
      </c>
      <c r="B14" s="20"/>
      <c r="C14" s="20"/>
      <c r="D14" s="3">
        <f>ROUND(28312/1.1,0)</f>
        <v>25738</v>
      </c>
      <c r="E14" s="15" t="s">
        <v>64</v>
      </c>
    </row>
    <row r="15" spans="1:5" x14ac:dyDescent="0.8">
      <c r="A15" s="2" t="s">
        <v>16</v>
      </c>
      <c r="B15" s="2"/>
      <c r="C15" s="2"/>
      <c r="D15" s="3">
        <f>D10-D11-D12-D13-D14</f>
        <v>91835</v>
      </c>
      <c r="E15" s="15"/>
    </row>
    <row r="16" spans="1:5" x14ac:dyDescent="0.8">
      <c r="A16" s="5"/>
      <c r="B16" s="5"/>
      <c r="C16" s="5"/>
      <c r="D16" s="6"/>
    </row>
    <row r="17" spans="1:5" x14ac:dyDescent="0.8">
      <c r="A17" s="5" t="s">
        <v>4</v>
      </c>
      <c r="B17" s="7"/>
      <c r="D17" s="7"/>
    </row>
    <row r="18" spans="1:5" x14ac:dyDescent="0.8">
      <c r="A18" s="2" t="s">
        <v>2</v>
      </c>
      <c r="B18" s="2" t="s">
        <v>5</v>
      </c>
      <c r="C18" s="2" t="s">
        <v>3</v>
      </c>
      <c r="D18" s="2" t="s">
        <v>14</v>
      </c>
      <c r="E18" s="15" t="s">
        <v>33</v>
      </c>
    </row>
    <row r="19" spans="1:5" x14ac:dyDescent="0.8">
      <c r="A19" s="2" t="s">
        <v>9</v>
      </c>
      <c r="B19" s="3">
        <v>1050</v>
      </c>
      <c r="C19" s="4">
        <f>C7+C10</f>
        <v>137</v>
      </c>
      <c r="D19" s="3">
        <f>B19*C19</f>
        <v>143850</v>
      </c>
      <c r="E19" s="15"/>
    </row>
    <row r="20" spans="1:5" x14ac:dyDescent="0.8">
      <c r="A20" s="2" t="s">
        <v>6</v>
      </c>
      <c r="B20" s="3">
        <v>100</v>
      </c>
      <c r="C20" s="4">
        <f>C7-C6+C10</f>
        <v>137</v>
      </c>
      <c r="D20" s="3">
        <f>B20*C20</f>
        <v>13700</v>
      </c>
      <c r="E20" s="15"/>
    </row>
    <row r="21" spans="1:5" x14ac:dyDescent="0.8">
      <c r="A21" s="2" t="s">
        <v>7</v>
      </c>
      <c r="B21" s="3">
        <f>ROUND(150/1.1,0)</f>
        <v>136</v>
      </c>
      <c r="C21" s="4">
        <f>C7</f>
        <v>101</v>
      </c>
      <c r="D21" s="3">
        <f>B21*C21</f>
        <v>13736</v>
      </c>
      <c r="E21" s="15"/>
    </row>
    <row r="22" spans="1:5" x14ac:dyDescent="0.8">
      <c r="A22" s="16" t="s">
        <v>36</v>
      </c>
      <c r="B22" s="11"/>
      <c r="C22" s="12"/>
      <c r="D22" s="3">
        <f>ROUND(D3*0.0373,0)</f>
        <v>8191</v>
      </c>
      <c r="E22" s="17">
        <v>-3.73E-2</v>
      </c>
    </row>
    <row r="23" spans="1:5" x14ac:dyDescent="0.8">
      <c r="A23" s="2" t="s">
        <v>35</v>
      </c>
      <c r="B23" s="13"/>
      <c r="C23" s="13"/>
      <c r="D23" s="3">
        <f>SUM(D19:D22)</f>
        <v>179477</v>
      </c>
      <c r="E23" s="15"/>
    </row>
    <row r="24" spans="1:5" x14ac:dyDescent="0.8">
      <c r="A24" s="5"/>
      <c r="B24" s="5"/>
      <c r="C24" s="5"/>
      <c r="D24" s="6"/>
    </row>
    <row r="25" spans="1:5" x14ac:dyDescent="0.8">
      <c r="A25" s="2" t="s">
        <v>2</v>
      </c>
      <c r="B25" s="2" t="s">
        <v>8</v>
      </c>
    </row>
    <row r="26" spans="1:5" x14ac:dyDescent="0.8">
      <c r="A26" s="2" t="s">
        <v>10</v>
      </c>
      <c r="B26" s="8">
        <f>D7</f>
        <v>313552</v>
      </c>
    </row>
    <row r="27" spans="1:5" x14ac:dyDescent="0.8">
      <c r="A27" s="2" t="s">
        <v>11</v>
      </c>
      <c r="B27" s="8">
        <f>D23</f>
        <v>179477</v>
      </c>
    </row>
    <row r="28" spans="1:5" x14ac:dyDescent="0.8">
      <c r="A28" s="2" t="s">
        <v>42</v>
      </c>
      <c r="B28" s="8">
        <f>D15</f>
        <v>91835</v>
      </c>
    </row>
    <row r="29" spans="1:5" x14ac:dyDescent="0.8">
      <c r="A29" s="2" t="s">
        <v>0</v>
      </c>
      <c r="B29" s="8">
        <f>B26-B27+B28</f>
        <v>225910</v>
      </c>
    </row>
    <row r="30" spans="1:5" x14ac:dyDescent="0.8">
      <c r="A30" s="22" t="s">
        <v>1</v>
      </c>
      <c r="B30" s="23">
        <f>ROUND(B29*0.6,0)</f>
        <v>135546</v>
      </c>
    </row>
    <row r="31" spans="1:5" x14ac:dyDescent="0.8">
      <c r="A31" s="2" t="s">
        <v>12</v>
      </c>
      <c r="B31" s="3">
        <f>B29*0.4</f>
        <v>90364</v>
      </c>
    </row>
    <row r="33" spans="1:1" x14ac:dyDescent="0.8">
      <c r="A33" s="1" t="s">
        <v>15</v>
      </c>
    </row>
  </sheetData>
  <phoneticPr fontId="1"/>
  <pageMargins left="0.25" right="0.25" top="0.75" bottom="0.75" header="0.3" footer="0.3"/>
  <pageSetup paperSize="9" orientation="portrait" horizontalDpi="0" verticalDpi="0"/>
  <headerFooter>
    <oddHeader>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AF07-50AC-7F44-B074-C4820E76FF34}">
  <dimension ref="A1:K54"/>
  <sheetViews>
    <sheetView topLeftCell="E1" workbookViewId="0">
      <pane xSplit="4980" ySplit="840" topLeftCell="E1" activePane="bottomRight"/>
      <selection sqref="A1:J1048576"/>
      <selection pane="topRight" activeCell="K1" sqref="K1:K1048576"/>
      <selection pane="bottomLeft" activeCell="E9" sqref="E9"/>
      <selection pane="bottomRight" activeCell="F26" sqref="F26"/>
    </sheetView>
  </sheetViews>
  <sheetFormatPr defaultColWidth="10.6640625" defaultRowHeight="19.899999999999999" x14ac:dyDescent="0.8"/>
  <cols>
    <col min="1" max="1" width="31.83203125" bestFit="1" customWidth="1"/>
    <col min="2" max="2" width="25.1640625" bestFit="1" customWidth="1"/>
    <col min="3" max="3" width="35.71875" bestFit="1" customWidth="1"/>
    <col min="4" max="4" width="20.83203125" bestFit="1" customWidth="1"/>
    <col min="5" max="5" width="58" bestFit="1" customWidth="1"/>
    <col min="6" max="6" width="12" bestFit="1" customWidth="1"/>
    <col min="7" max="7" width="21.44140625" bestFit="1" customWidth="1"/>
    <col min="8" max="8" width="13.27734375" bestFit="1" customWidth="1"/>
    <col min="9" max="9" width="7.44140625" bestFit="1" customWidth="1"/>
    <col min="10" max="10" width="9.83203125" bestFit="1" customWidth="1"/>
    <col min="11" max="11" width="8.5546875" bestFit="1" customWidth="1"/>
  </cols>
  <sheetData>
    <row r="1" spans="1:11" x14ac:dyDescent="0.8">
      <c r="A1" s="18" t="s">
        <v>47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52</v>
      </c>
      <c r="G1" s="18" t="s">
        <v>53</v>
      </c>
      <c r="H1" s="18" t="s">
        <v>54</v>
      </c>
      <c r="I1" s="18" t="s">
        <v>55</v>
      </c>
      <c r="J1" s="18" t="s">
        <v>56</v>
      </c>
      <c r="K1" s="18" t="s">
        <v>90</v>
      </c>
    </row>
    <row r="2" spans="1:11" x14ac:dyDescent="0.8">
      <c r="A2" s="19">
        <v>45803</v>
      </c>
      <c r="B2" s="18" t="s">
        <v>44</v>
      </c>
      <c r="C2" s="18" t="s">
        <v>58</v>
      </c>
      <c r="D2" s="18" t="s">
        <v>59</v>
      </c>
      <c r="E2" s="18" t="s">
        <v>60</v>
      </c>
      <c r="F2" s="18">
        <v>0</v>
      </c>
      <c r="G2" s="18">
        <v>0</v>
      </c>
      <c r="H2" s="18">
        <v>-16545</v>
      </c>
      <c r="I2" s="18">
        <v>0</v>
      </c>
      <c r="J2" s="18">
        <v>-16545</v>
      </c>
      <c r="K2" s="18"/>
    </row>
    <row r="3" spans="1:11" x14ac:dyDescent="0.8">
      <c r="A3" s="19">
        <v>45786</v>
      </c>
      <c r="B3" s="18" t="s">
        <v>44</v>
      </c>
      <c r="C3" s="18" t="s">
        <v>58</v>
      </c>
      <c r="D3" s="18" t="s">
        <v>59</v>
      </c>
      <c r="E3" s="18" t="s">
        <v>61</v>
      </c>
      <c r="F3" s="18">
        <v>0</v>
      </c>
      <c r="G3" s="18">
        <v>0</v>
      </c>
      <c r="H3" s="18">
        <v>-5390</v>
      </c>
      <c r="I3" s="18">
        <v>0</v>
      </c>
      <c r="J3" s="18">
        <v>-5390</v>
      </c>
      <c r="K3" s="18"/>
    </row>
    <row r="4" spans="1:11" x14ac:dyDescent="0.8">
      <c r="A4" s="19">
        <v>45784</v>
      </c>
      <c r="B4" s="18" t="s">
        <v>44</v>
      </c>
      <c r="C4" s="18" t="s">
        <v>58</v>
      </c>
      <c r="D4" s="18" t="s">
        <v>59</v>
      </c>
      <c r="E4" s="18"/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/>
    </row>
    <row r="5" spans="1:11" x14ac:dyDescent="0.8">
      <c r="A5" s="19">
        <v>45779</v>
      </c>
      <c r="B5" s="18" t="s">
        <v>44</v>
      </c>
      <c r="C5" s="18" t="s">
        <v>58</v>
      </c>
      <c r="D5" s="18" t="s">
        <v>59</v>
      </c>
      <c r="E5" s="18" t="s">
        <v>60</v>
      </c>
      <c r="F5" s="18">
        <v>0</v>
      </c>
      <c r="G5" s="18">
        <v>0</v>
      </c>
      <c r="H5" s="18">
        <v>-6377</v>
      </c>
      <c r="I5" s="18">
        <v>0</v>
      </c>
      <c r="J5" s="18">
        <v>-6377</v>
      </c>
      <c r="K5" s="18"/>
    </row>
    <row r="6" spans="1:11" x14ac:dyDescent="0.8">
      <c r="A6" s="19">
        <v>45807</v>
      </c>
      <c r="B6" s="18" t="s">
        <v>46</v>
      </c>
      <c r="C6" s="18" t="s">
        <v>45</v>
      </c>
      <c r="D6" s="18" t="s">
        <v>66</v>
      </c>
      <c r="E6" s="18" t="s">
        <v>57</v>
      </c>
      <c r="F6" s="18">
        <v>8510</v>
      </c>
      <c r="G6" s="18">
        <v>-1018</v>
      </c>
      <c r="H6" s="18">
        <v>-2256</v>
      </c>
      <c r="I6" s="18">
        <v>924</v>
      </c>
      <c r="J6" s="18">
        <v>6160</v>
      </c>
      <c r="K6" s="18">
        <v>2</v>
      </c>
    </row>
    <row r="7" spans="1:11" x14ac:dyDescent="0.8">
      <c r="A7" s="19">
        <v>45806</v>
      </c>
      <c r="B7" s="18" t="s">
        <v>46</v>
      </c>
      <c r="C7" s="18" t="s">
        <v>45</v>
      </c>
      <c r="D7" s="18" t="s">
        <v>67</v>
      </c>
      <c r="E7" s="18" t="s">
        <v>57</v>
      </c>
      <c r="F7" s="18">
        <v>12765</v>
      </c>
      <c r="G7" s="18">
        <v>-1863</v>
      </c>
      <c r="H7" s="18">
        <v>-2690</v>
      </c>
      <c r="I7" s="18">
        <v>1722</v>
      </c>
      <c r="J7" s="18">
        <v>9934</v>
      </c>
      <c r="K7" s="18">
        <v>3</v>
      </c>
    </row>
    <row r="8" spans="1:11" x14ac:dyDescent="0.8">
      <c r="A8" s="19">
        <v>45805</v>
      </c>
      <c r="B8" s="18" t="s">
        <v>44</v>
      </c>
      <c r="C8" s="18" t="s">
        <v>45</v>
      </c>
      <c r="D8" s="18" t="s">
        <v>68</v>
      </c>
      <c r="E8" s="18" t="s">
        <v>57</v>
      </c>
      <c r="F8" s="18">
        <v>8510</v>
      </c>
      <c r="G8" s="18">
        <v>-1418</v>
      </c>
      <c r="H8" s="18">
        <v>-2256</v>
      </c>
      <c r="I8" s="18">
        <v>1324</v>
      </c>
      <c r="J8" s="18">
        <v>6160</v>
      </c>
      <c r="K8" s="18">
        <v>2</v>
      </c>
    </row>
    <row r="9" spans="1:11" x14ac:dyDescent="0.8">
      <c r="A9" s="19">
        <v>45805</v>
      </c>
      <c r="B9" s="18" t="s">
        <v>44</v>
      </c>
      <c r="C9" s="18" t="s">
        <v>45</v>
      </c>
      <c r="D9" s="18" t="s">
        <v>69</v>
      </c>
      <c r="E9" s="18" t="s">
        <v>57</v>
      </c>
      <c r="F9" s="18">
        <v>8509</v>
      </c>
      <c r="G9" s="18">
        <v>0</v>
      </c>
      <c r="H9" s="18">
        <v>-2397</v>
      </c>
      <c r="I9" s="18">
        <v>757</v>
      </c>
      <c r="J9" s="18">
        <v>6869</v>
      </c>
      <c r="K9" s="18">
        <v>2</v>
      </c>
    </row>
    <row r="10" spans="1:11" x14ac:dyDescent="0.8">
      <c r="A10" s="19">
        <v>45805</v>
      </c>
      <c r="B10" s="18" t="s">
        <v>44</v>
      </c>
      <c r="C10" s="18" t="s">
        <v>45</v>
      </c>
      <c r="D10" s="18" t="s">
        <v>70</v>
      </c>
      <c r="E10" s="18" t="s">
        <v>57</v>
      </c>
      <c r="F10" s="18">
        <v>8510</v>
      </c>
      <c r="G10" s="18">
        <v>-1418</v>
      </c>
      <c r="H10" s="18">
        <v>-2256</v>
      </c>
      <c r="I10" s="18">
        <v>1324</v>
      </c>
      <c r="J10" s="18">
        <v>6160</v>
      </c>
      <c r="K10" s="18">
        <v>2</v>
      </c>
    </row>
    <row r="11" spans="1:11" x14ac:dyDescent="0.8">
      <c r="A11" s="19">
        <v>45804</v>
      </c>
      <c r="B11" s="18" t="s">
        <v>44</v>
      </c>
      <c r="C11" s="18" t="s">
        <v>45</v>
      </c>
      <c r="D11" s="18" t="s">
        <v>71</v>
      </c>
      <c r="E11" s="18" t="s">
        <v>57</v>
      </c>
      <c r="F11" s="18">
        <v>4255</v>
      </c>
      <c r="G11" s="18">
        <v>-709</v>
      </c>
      <c r="H11" s="18">
        <v>-1128</v>
      </c>
      <c r="I11" s="18">
        <v>662</v>
      </c>
      <c r="J11" s="18">
        <v>3080</v>
      </c>
      <c r="K11" s="18">
        <v>1</v>
      </c>
    </row>
    <row r="12" spans="1:11" x14ac:dyDescent="0.8">
      <c r="A12" s="19">
        <v>45799</v>
      </c>
      <c r="B12" s="18" t="s">
        <v>44</v>
      </c>
      <c r="C12" s="18" t="s">
        <v>45</v>
      </c>
      <c r="D12" s="18" t="s">
        <v>72</v>
      </c>
      <c r="E12" s="18" t="s">
        <v>57</v>
      </c>
      <c r="F12" s="18">
        <v>4254</v>
      </c>
      <c r="G12" s="18">
        <v>-105</v>
      </c>
      <c r="H12" s="18">
        <v>-1199</v>
      </c>
      <c r="I12" s="18">
        <v>484</v>
      </c>
      <c r="J12" s="18">
        <v>3434</v>
      </c>
      <c r="K12" s="18">
        <v>1</v>
      </c>
    </row>
    <row r="13" spans="1:11" x14ac:dyDescent="0.8">
      <c r="A13" s="19">
        <v>45798</v>
      </c>
      <c r="B13" s="18" t="s">
        <v>44</v>
      </c>
      <c r="C13" s="18" t="s">
        <v>45</v>
      </c>
      <c r="D13" s="18" t="s">
        <v>73</v>
      </c>
      <c r="E13" s="18" t="s">
        <v>57</v>
      </c>
      <c r="F13" s="18">
        <v>4254</v>
      </c>
      <c r="G13" s="18">
        <v>0</v>
      </c>
      <c r="H13" s="18">
        <v>-1356</v>
      </c>
      <c r="I13" s="18">
        <v>536</v>
      </c>
      <c r="J13" s="18">
        <v>3434</v>
      </c>
      <c r="K13" s="18">
        <v>1</v>
      </c>
    </row>
    <row r="14" spans="1:11" x14ac:dyDescent="0.8">
      <c r="A14" s="19">
        <v>45797</v>
      </c>
      <c r="B14" s="18" t="s">
        <v>44</v>
      </c>
      <c r="C14" s="18" t="s">
        <v>45</v>
      </c>
      <c r="D14" s="18" t="s">
        <v>74</v>
      </c>
      <c r="E14" s="18" t="s">
        <v>57</v>
      </c>
      <c r="F14" s="18">
        <v>8510</v>
      </c>
      <c r="G14" s="18">
        <v>-856</v>
      </c>
      <c r="H14" s="18">
        <v>-868</v>
      </c>
      <c r="I14" s="18">
        <v>762</v>
      </c>
      <c r="J14" s="18">
        <v>7548</v>
      </c>
      <c r="K14" s="18">
        <v>2</v>
      </c>
    </row>
    <row r="15" spans="1:11" x14ac:dyDescent="0.8">
      <c r="A15" s="19">
        <v>45795</v>
      </c>
      <c r="B15" s="18" t="s">
        <v>44</v>
      </c>
      <c r="C15" s="18" t="s">
        <v>45</v>
      </c>
      <c r="D15" s="18" t="s">
        <v>75</v>
      </c>
      <c r="E15" s="18" t="s">
        <v>57</v>
      </c>
      <c r="F15" s="18">
        <v>4255</v>
      </c>
      <c r="G15" s="18">
        <v>0</v>
      </c>
      <c r="H15" s="18">
        <v>-1199</v>
      </c>
      <c r="I15" s="18">
        <v>378</v>
      </c>
      <c r="J15" s="18">
        <v>3434</v>
      </c>
      <c r="K15" s="18">
        <v>1</v>
      </c>
    </row>
    <row r="16" spans="1:11" x14ac:dyDescent="0.8">
      <c r="A16" s="19">
        <v>45794</v>
      </c>
      <c r="B16" s="18" t="s">
        <v>44</v>
      </c>
      <c r="C16" s="18" t="s">
        <v>45</v>
      </c>
      <c r="D16" s="18" t="s">
        <v>76</v>
      </c>
      <c r="E16" s="18" t="s">
        <v>57</v>
      </c>
      <c r="F16" s="18">
        <v>17020</v>
      </c>
      <c r="G16" s="18">
        <v>-1257</v>
      </c>
      <c r="H16" s="18">
        <v>-1736</v>
      </c>
      <c r="I16" s="18">
        <v>1069</v>
      </c>
      <c r="J16" s="18">
        <v>15096</v>
      </c>
      <c r="K16" s="18">
        <v>4</v>
      </c>
    </row>
    <row r="17" spans="1:11" x14ac:dyDescent="0.8">
      <c r="A17" s="19">
        <v>45793</v>
      </c>
      <c r="B17" s="18" t="s">
        <v>44</v>
      </c>
      <c r="C17" s="18" t="s">
        <v>45</v>
      </c>
      <c r="D17" s="18" t="s">
        <v>77</v>
      </c>
      <c r="E17" s="18" t="s">
        <v>57</v>
      </c>
      <c r="F17" s="18">
        <v>4255</v>
      </c>
      <c r="G17" s="18">
        <v>0</v>
      </c>
      <c r="H17" s="18">
        <v>-808</v>
      </c>
      <c r="I17" s="18">
        <v>378</v>
      </c>
      <c r="J17" s="18">
        <v>3825</v>
      </c>
      <c r="K17" s="18">
        <v>1</v>
      </c>
    </row>
    <row r="18" spans="1:11" x14ac:dyDescent="0.8">
      <c r="A18" s="19">
        <v>45792</v>
      </c>
      <c r="B18" s="18" t="s">
        <v>44</v>
      </c>
      <c r="C18" s="18" t="s">
        <v>45</v>
      </c>
      <c r="D18" s="18" t="s">
        <v>78</v>
      </c>
      <c r="E18" s="18" t="s">
        <v>57</v>
      </c>
      <c r="F18" s="18">
        <v>4255</v>
      </c>
      <c r="G18" s="18">
        <v>0</v>
      </c>
      <c r="H18" s="18">
        <v>-434</v>
      </c>
      <c r="I18" s="18">
        <v>378</v>
      </c>
      <c r="J18" s="18">
        <v>4199</v>
      </c>
      <c r="K18" s="18">
        <v>1</v>
      </c>
    </row>
    <row r="19" spans="1:11" x14ac:dyDescent="0.8">
      <c r="A19" s="19">
        <v>45791</v>
      </c>
      <c r="B19" s="18" t="s">
        <v>44</v>
      </c>
      <c r="C19" s="18" t="s">
        <v>45</v>
      </c>
      <c r="D19" s="18" t="s">
        <v>79</v>
      </c>
      <c r="E19" s="18" t="s">
        <v>57</v>
      </c>
      <c r="F19" s="18">
        <v>8509</v>
      </c>
      <c r="G19" s="18">
        <v>0</v>
      </c>
      <c r="H19" s="18">
        <v>-868</v>
      </c>
      <c r="I19" s="18">
        <v>757</v>
      </c>
      <c r="J19" s="18">
        <v>8398</v>
      </c>
      <c r="K19" s="18">
        <v>2</v>
      </c>
    </row>
    <row r="20" spans="1:11" x14ac:dyDescent="0.8">
      <c r="A20" s="19">
        <v>45791</v>
      </c>
      <c r="B20" s="18" t="s">
        <v>44</v>
      </c>
      <c r="C20" s="18" t="s">
        <v>45</v>
      </c>
      <c r="D20" s="18" t="s">
        <v>80</v>
      </c>
      <c r="E20" s="18" t="s">
        <v>57</v>
      </c>
      <c r="F20" s="18">
        <v>8509</v>
      </c>
      <c r="G20" s="18">
        <v>0</v>
      </c>
      <c r="H20" s="18">
        <v>-868</v>
      </c>
      <c r="I20" s="18">
        <v>757</v>
      </c>
      <c r="J20" s="18">
        <v>8398</v>
      </c>
      <c r="K20" s="18">
        <v>2</v>
      </c>
    </row>
    <row r="21" spans="1:11" x14ac:dyDescent="0.8">
      <c r="A21" s="19">
        <v>45790</v>
      </c>
      <c r="B21" s="18" t="s">
        <v>44</v>
      </c>
      <c r="C21" s="18" t="s">
        <v>45</v>
      </c>
      <c r="D21" s="18" t="s">
        <v>81</v>
      </c>
      <c r="E21" s="18" t="s">
        <v>57</v>
      </c>
      <c r="F21" s="18">
        <v>4255</v>
      </c>
      <c r="G21" s="18">
        <v>0</v>
      </c>
      <c r="H21" s="18">
        <v>-434</v>
      </c>
      <c r="I21" s="18">
        <v>378</v>
      </c>
      <c r="J21" s="18">
        <v>4199</v>
      </c>
      <c r="K21" s="18">
        <v>1</v>
      </c>
    </row>
    <row r="22" spans="1:11" x14ac:dyDescent="0.8">
      <c r="A22" s="19">
        <v>45787</v>
      </c>
      <c r="B22" s="18" t="s">
        <v>44</v>
      </c>
      <c r="C22" s="18" t="s">
        <v>45</v>
      </c>
      <c r="D22" s="18" t="s">
        <v>82</v>
      </c>
      <c r="E22" s="18" t="s">
        <v>57</v>
      </c>
      <c r="F22" s="18">
        <v>4255</v>
      </c>
      <c r="G22" s="18">
        <v>0</v>
      </c>
      <c r="H22" s="18">
        <v>-434</v>
      </c>
      <c r="I22" s="18">
        <v>378</v>
      </c>
      <c r="J22" s="18">
        <v>4199</v>
      </c>
      <c r="K22" s="18">
        <v>1</v>
      </c>
    </row>
    <row r="23" spans="1:11" x14ac:dyDescent="0.8">
      <c r="A23" s="19">
        <v>45787</v>
      </c>
      <c r="B23" s="18" t="s">
        <v>44</v>
      </c>
      <c r="C23" s="18" t="s">
        <v>45</v>
      </c>
      <c r="D23" s="18" t="s">
        <v>83</v>
      </c>
      <c r="E23" s="18" t="s">
        <v>57</v>
      </c>
      <c r="F23" s="18">
        <v>4255</v>
      </c>
      <c r="G23" s="18">
        <v>0</v>
      </c>
      <c r="H23" s="18">
        <v>-434</v>
      </c>
      <c r="I23" s="18">
        <v>378</v>
      </c>
      <c r="J23" s="18">
        <v>4199</v>
      </c>
      <c r="K23" s="18">
        <v>1</v>
      </c>
    </row>
    <row r="24" spans="1:11" x14ac:dyDescent="0.8">
      <c r="A24" s="19">
        <v>45785</v>
      </c>
      <c r="B24" s="18" t="s">
        <v>44</v>
      </c>
      <c r="C24" s="18" t="s">
        <v>45</v>
      </c>
      <c r="D24" s="18" t="s">
        <v>84</v>
      </c>
      <c r="E24" s="18" t="s">
        <v>57</v>
      </c>
      <c r="F24" s="18">
        <v>4255</v>
      </c>
      <c r="G24" s="18">
        <v>0</v>
      </c>
      <c r="H24" s="18">
        <v>-1199</v>
      </c>
      <c r="I24" s="18">
        <v>378</v>
      </c>
      <c r="J24" s="18">
        <v>3434</v>
      </c>
      <c r="K24" s="18">
        <v>1</v>
      </c>
    </row>
    <row r="25" spans="1:11" x14ac:dyDescent="0.8">
      <c r="A25" s="19">
        <v>45785</v>
      </c>
      <c r="B25" s="18" t="s">
        <v>44</v>
      </c>
      <c r="C25" s="18" t="s">
        <v>45</v>
      </c>
      <c r="D25" s="18" t="s">
        <v>85</v>
      </c>
      <c r="E25" s="18" t="s">
        <v>57</v>
      </c>
      <c r="F25" s="18">
        <v>8509</v>
      </c>
      <c r="G25" s="18">
        <v>0</v>
      </c>
      <c r="H25" s="18">
        <v>-2397</v>
      </c>
      <c r="I25" s="18">
        <v>757</v>
      </c>
      <c r="J25" s="18">
        <v>6869</v>
      </c>
      <c r="K25" s="18">
        <v>2</v>
      </c>
    </row>
    <row r="26" spans="1:11" x14ac:dyDescent="0.8">
      <c r="A26" s="19">
        <v>45784</v>
      </c>
      <c r="B26" s="18" t="s">
        <v>44</v>
      </c>
      <c r="C26" s="18" t="s">
        <v>45</v>
      </c>
      <c r="D26" s="18" t="s">
        <v>86</v>
      </c>
      <c r="E26" s="18" t="s">
        <v>57</v>
      </c>
      <c r="F26" s="18">
        <v>4255</v>
      </c>
      <c r="G26" s="18">
        <v>-60</v>
      </c>
      <c r="H26" s="18">
        <v>-1199</v>
      </c>
      <c r="I26" s="18">
        <v>438</v>
      </c>
      <c r="J26" s="18">
        <v>3434</v>
      </c>
      <c r="K26" s="18">
        <v>1</v>
      </c>
    </row>
    <row r="27" spans="1:11" x14ac:dyDescent="0.8">
      <c r="A27" s="19">
        <v>45782</v>
      </c>
      <c r="B27" s="18" t="s">
        <v>44</v>
      </c>
      <c r="C27" s="18" t="s">
        <v>45</v>
      </c>
      <c r="D27" s="18" t="s">
        <v>87</v>
      </c>
      <c r="E27" s="18" t="s">
        <v>57</v>
      </c>
      <c r="F27" s="18">
        <v>4255</v>
      </c>
      <c r="G27" s="18">
        <v>0</v>
      </c>
      <c r="H27" s="18">
        <v>-1199</v>
      </c>
      <c r="I27" s="18">
        <v>378</v>
      </c>
      <c r="J27" s="18">
        <v>3434</v>
      </c>
      <c r="K27" s="18">
        <v>1</v>
      </c>
    </row>
    <row r="28" spans="1:11" x14ac:dyDescent="0.8">
      <c r="A28" s="19">
        <v>45781</v>
      </c>
      <c r="B28" s="18" t="s">
        <v>44</v>
      </c>
      <c r="C28" s="18" t="s">
        <v>45</v>
      </c>
      <c r="D28" s="18" t="s">
        <v>88</v>
      </c>
      <c r="E28" s="18" t="s">
        <v>57</v>
      </c>
      <c r="F28" s="18">
        <v>4255</v>
      </c>
      <c r="G28" s="18">
        <v>0</v>
      </c>
      <c r="H28" s="18">
        <v>-1199</v>
      </c>
      <c r="I28" s="18">
        <v>378</v>
      </c>
      <c r="J28" s="18">
        <v>3434</v>
      </c>
      <c r="K28" s="18">
        <v>1</v>
      </c>
    </row>
    <row r="29" spans="1:11" x14ac:dyDescent="0.8">
      <c r="A29" s="19">
        <v>45800</v>
      </c>
      <c r="B29" s="18" t="s">
        <v>44</v>
      </c>
      <c r="C29" s="18" t="s">
        <v>89</v>
      </c>
      <c r="D29" s="18" t="s">
        <v>74</v>
      </c>
      <c r="E29" s="18" t="s">
        <v>57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</row>
    <row r="30" spans="1:11" x14ac:dyDescent="0.8">
      <c r="A30" s="19"/>
      <c r="B30" s="18"/>
      <c r="C30" s="18"/>
      <c r="D30" s="18"/>
      <c r="E30" s="18" t="s">
        <v>92</v>
      </c>
      <c r="F30" s="18">
        <f t="shared" ref="F30:K30" si="0">SUM(F6:F29)</f>
        <v>153174</v>
      </c>
      <c r="G30" s="18">
        <f t="shared" si="0"/>
        <v>-8704</v>
      </c>
      <c r="H30" s="18">
        <f t="shared" si="0"/>
        <v>-30814</v>
      </c>
      <c r="I30" s="18">
        <f t="shared" si="0"/>
        <v>15675</v>
      </c>
      <c r="J30" s="18">
        <f t="shared" si="0"/>
        <v>129331</v>
      </c>
      <c r="K30" s="18">
        <f t="shared" si="0"/>
        <v>36</v>
      </c>
    </row>
    <row r="31" spans="1:11" x14ac:dyDescent="0.8">
      <c r="A31" s="19"/>
      <c r="B31" s="18"/>
      <c r="C31" s="18"/>
      <c r="D31" s="18"/>
      <c r="E31" s="18"/>
      <c r="F31" s="18" t="s">
        <v>95</v>
      </c>
      <c r="G31" s="18" t="s">
        <v>91</v>
      </c>
      <c r="H31" s="18">
        <f>SUM(H2:H5)</f>
        <v>-28312</v>
      </c>
      <c r="I31" s="18" t="s">
        <v>16</v>
      </c>
      <c r="J31" s="18">
        <f>SUM(J2:J29)</f>
        <v>101019</v>
      </c>
      <c r="K31" s="18"/>
    </row>
    <row r="32" spans="1:11" x14ac:dyDescent="0.8">
      <c r="A32" s="19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 x14ac:dyDescent="0.8">
      <c r="A33" s="19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x14ac:dyDescent="0.8">
      <c r="A34" s="19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x14ac:dyDescent="0.8">
      <c r="A35" s="19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x14ac:dyDescent="0.8">
      <c r="A36" s="19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x14ac:dyDescent="0.8">
      <c r="A37" s="19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 x14ac:dyDescent="0.8">
      <c r="A38" s="19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x14ac:dyDescent="0.8">
      <c r="A39" s="19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x14ac:dyDescent="0.8">
      <c r="A40" s="19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x14ac:dyDescent="0.8">
      <c r="A41" s="19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x14ac:dyDescent="0.8">
      <c r="A42" s="19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x14ac:dyDescent="0.8">
      <c r="A43" s="19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x14ac:dyDescent="0.8">
      <c r="A44" s="19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x14ac:dyDescent="0.8">
      <c r="A45" s="19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x14ac:dyDescent="0.8">
      <c r="A46" s="19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x14ac:dyDescent="0.8">
      <c r="A47" s="19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spans="1:11" x14ac:dyDescent="0.8">
      <c r="A48" s="19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spans="1:11" x14ac:dyDescent="0.8">
      <c r="A49" s="19"/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spans="1:11" x14ac:dyDescent="0.8">
      <c r="A50" s="19"/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spans="1:11" x14ac:dyDescent="0.8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</row>
    <row r="52" spans="1:11" x14ac:dyDescent="0.8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spans="1:11" x14ac:dyDescent="0.8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</row>
    <row r="54" spans="1:11" x14ac:dyDescent="0.8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</row>
  </sheetData>
  <sortState xmlns:xlrd2="http://schemas.microsoft.com/office/spreadsheetml/2017/richdata2" ref="A2:K50">
    <sortCondition ref="D2:D50"/>
  </sortState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AD5E-6A94-E348-B880-17E0F68A0252}">
  <dimension ref="A1:M17"/>
  <sheetViews>
    <sheetView workbookViewId="0">
      <selection activeCell="I24" sqref="I24"/>
    </sheetView>
  </sheetViews>
  <sheetFormatPr defaultColWidth="10.6640625" defaultRowHeight="19.899999999999999" x14ac:dyDescent="0.8"/>
  <cols>
    <col min="13" max="13" width="10.71875" style="9"/>
  </cols>
  <sheetData>
    <row r="1" spans="1:13" x14ac:dyDescent="0.8">
      <c r="A1" t="s">
        <v>31</v>
      </c>
      <c r="B1" t="s">
        <v>30</v>
      </c>
      <c r="C1" t="s">
        <v>29</v>
      </c>
      <c r="D1" t="s">
        <v>28</v>
      </c>
      <c r="E1" t="s">
        <v>27</v>
      </c>
      <c r="F1" t="s">
        <v>26</v>
      </c>
      <c r="G1" t="s">
        <v>25</v>
      </c>
      <c r="H1" t="s">
        <v>24</v>
      </c>
      <c r="I1" t="s">
        <v>23</v>
      </c>
      <c r="J1" t="s">
        <v>22</v>
      </c>
      <c r="K1" t="s">
        <v>21</v>
      </c>
      <c r="L1" t="s">
        <v>20</v>
      </c>
      <c r="M1" s="9" t="s">
        <v>19</v>
      </c>
    </row>
    <row r="2" spans="1:13" x14ac:dyDescent="0.8">
      <c r="A2" s="10">
        <v>45681</v>
      </c>
      <c r="B2" t="s">
        <v>18</v>
      </c>
      <c r="C2">
        <v>55220</v>
      </c>
      <c r="D2">
        <v>0</v>
      </c>
      <c r="E2">
        <v>0</v>
      </c>
      <c r="F2">
        <v>0</v>
      </c>
      <c r="G2">
        <v>0</v>
      </c>
      <c r="H2">
        <v>0</v>
      </c>
      <c r="I2">
        <v>1993</v>
      </c>
      <c r="J2">
        <v>0</v>
      </c>
      <c r="K2">
        <v>53227</v>
      </c>
      <c r="L2" t="s">
        <v>17</v>
      </c>
      <c r="M2" s="9">
        <f t="shared" ref="M2:M17" si="0">I2/K2</f>
        <v>3.7443402784301201E-2</v>
      </c>
    </row>
    <row r="3" spans="1:13" x14ac:dyDescent="0.8">
      <c r="A3" s="10">
        <v>45674</v>
      </c>
      <c r="B3" t="s">
        <v>18</v>
      </c>
      <c r="C3">
        <v>15180</v>
      </c>
      <c r="D3">
        <v>0</v>
      </c>
      <c r="E3">
        <v>0</v>
      </c>
      <c r="F3">
        <v>0</v>
      </c>
      <c r="G3">
        <v>0</v>
      </c>
      <c r="H3">
        <v>0</v>
      </c>
      <c r="I3">
        <v>540</v>
      </c>
      <c r="J3">
        <v>0</v>
      </c>
      <c r="K3">
        <v>14640</v>
      </c>
      <c r="L3" t="s">
        <v>17</v>
      </c>
      <c r="M3" s="9">
        <f t="shared" si="0"/>
        <v>3.6885245901639344E-2</v>
      </c>
    </row>
    <row r="4" spans="1:13" x14ac:dyDescent="0.8">
      <c r="A4" s="10">
        <v>45667</v>
      </c>
      <c r="B4" t="s">
        <v>18</v>
      </c>
      <c r="C4">
        <v>55220</v>
      </c>
      <c r="D4">
        <v>0</v>
      </c>
      <c r="E4">
        <v>0</v>
      </c>
      <c r="F4">
        <v>0</v>
      </c>
      <c r="G4">
        <v>0</v>
      </c>
      <c r="H4">
        <v>0</v>
      </c>
      <c r="I4">
        <v>1962</v>
      </c>
      <c r="J4">
        <v>0</v>
      </c>
      <c r="K4">
        <v>53258</v>
      </c>
      <c r="L4" t="s">
        <v>17</v>
      </c>
      <c r="M4" s="9">
        <f t="shared" si="0"/>
        <v>3.683953584438019E-2</v>
      </c>
    </row>
    <row r="5" spans="1:13" x14ac:dyDescent="0.8">
      <c r="A5" s="10">
        <v>45663</v>
      </c>
      <c r="B5" t="s">
        <v>18</v>
      </c>
      <c r="C5">
        <v>50820</v>
      </c>
      <c r="D5">
        <v>0</v>
      </c>
      <c r="E5">
        <v>0</v>
      </c>
      <c r="F5">
        <v>0</v>
      </c>
      <c r="G5">
        <v>0</v>
      </c>
      <c r="H5">
        <v>0</v>
      </c>
      <c r="I5">
        <v>1805</v>
      </c>
      <c r="J5">
        <v>0</v>
      </c>
      <c r="K5">
        <v>49015</v>
      </c>
      <c r="L5" t="s">
        <v>17</v>
      </c>
      <c r="M5" s="9">
        <f t="shared" si="0"/>
        <v>3.6825461593389779E-2</v>
      </c>
    </row>
    <row r="6" spans="1:13" x14ac:dyDescent="0.8">
      <c r="A6" s="10">
        <v>45653</v>
      </c>
      <c r="B6" t="s">
        <v>18</v>
      </c>
      <c r="C6">
        <v>91300</v>
      </c>
      <c r="D6">
        <v>0</v>
      </c>
      <c r="E6">
        <v>0</v>
      </c>
      <c r="F6">
        <v>0</v>
      </c>
      <c r="G6">
        <v>0</v>
      </c>
      <c r="H6">
        <v>0</v>
      </c>
      <c r="I6">
        <v>3273</v>
      </c>
      <c r="J6">
        <v>0</v>
      </c>
      <c r="K6">
        <v>88027</v>
      </c>
      <c r="L6" t="s">
        <v>17</v>
      </c>
      <c r="M6" s="9">
        <f t="shared" si="0"/>
        <v>3.718177377395572E-2</v>
      </c>
    </row>
    <row r="7" spans="1:13" x14ac:dyDescent="0.8">
      <c r="A7" s="10">
        <v>45646</v>
      </c>
      <c r="B7" t="s">
        <v>18</v>
      </c>
      <c r="C7">
        <v>52360</v>
      </c>
      <c r="D7">
        <v>0</v>
      </c>
      <c r="E7">
        <v>0</v>
      </c>
      <c r="F7">
        <v>0</v>
      </c>
      <c r="G7">
        <v>0</v>
      </c>
      <c r="H7">
        <v>0</v>
      </c>
      <c r="I7">
        <v>1909</v>
      </c>
      <c r="J7">
        <v>0</v>
      </c>
      <c r="K7">
        <v>50451</v>
      </c>
      <c r="L7" t="s">
        <v>17</v>
      </c>
      <c r="M7" s="9">
        <f t="shared" si="0"/>
        <v>3.7838694971358347E-2</v>
      </c>
    </row>
    <row r="8" spans="1:13" x14ac:dyDescent="0.8">
      <c r="A8" s="10">
        <v>45639</v>
      </c>
      <c r="B8" t="s">
        <v>18</v>
      </c>
      <c r="C8">
        <v>39380</v>
      </c>
      <c r="D8">
        <v>0</v>
      </c>
      <c r="E8">
        <v>0</v>
      </c>
      <c r="F8">
        <v>0</v>
      </c>
      <c r="G8">
        <v>0</v>
      </c>
      <c r="H8">
        <v>0</v>
      </c>
      <c r="I8">
        <v>1400</v>
      </c>
      <c r="J8">
        <v>0</v>
      </c>
      <c r="K8">
        <v>37980</v>
      </c>
      <c r="L8" t="s">
        <v>17</v>
      </c>
      <c r="M8" s="9">
        <f t="shared" si="0"/>
        <v>3.6861506055818852E-2</v>
      </c>
    </row>
    <row r="9" spans="1:13" x14ac:dyDescent="0.8">
      <c r="A9" s="10">
        <v>45632</v>
      </c>
      <c r="B9" t="s">
        <v>18</v>
      </c>
      <c r="C9">
        <v>28160</v>
      </c>
      <c r="D9">
        <v>0</v>
      </c>
      <c r="E9">
        <v>0</v>
      </c>
      <c r="F9">
        <v>0</v>
      </c>
      <c r="G9">
        <v>0</v>
      </c>
      <c r="H9">
        <v>0</v>
      </c>
      <c r="I9">
        <v>1000</v>
      </c>
      <c r="J9">
        <v>0</v>
      </c>
      <c r="K9">
        <v>27160</v>
      </c>
      <c r="L9" t="s">
        <v>17</v>
      </c>
      <c r="M9" s="9">
        <f t="shared" si="0"/>
        <v>3.6818851251840944E-2</v>
      </c>
    </row>
    <row r="10" spans="1:13" x14ac:dyDescent="0.8">
      <c r="A10" s="10">
        <v>45625</v>
      </c>
      <c r="B10" t="s">
        <v>18</v>
      </c>
      <c r="C10">
        <v>32120</v>
      </c>
      <c r="D10">
        <v>0</v>
      </c>
      <c r="E10">
        <v>0</v>
      </c>
      <c r="F10">
        <v>0</v>
      </c>
      <c r="G10">
        <v>0</v>
      </c>
      <c r="H10">
        <v>0</v>
      </c>
      <c r="I10">
        <v>1141</v>
      </c>
      <c r="J10">
        <v>0</v>
      </c>
      <c r="K10">
        <v>30979</v>
      </c>
      <c r="L10" t="s">
        <v>17</v>
      </c>
      <c r="M10" s="9">
        <f t="shared" si="0"/>
        <v>3.6831401917427932E-2</v>
      </c>
    </row>
    <row r="11" spans="1:13" x14ac:dyDescent="0.8">
      <c r="A11" s="10">
        <v>45618</v>
      </c>
      <c r="B11" t="s">
        <v>18</v>
      </c>
      <c r="C11">
        <v>37180</v>
      </c>
      <c r="D11">
        <v>0</v>
      </c>
      <c r="E11">
        <v>0</v>
      </c>
      <c r="F11">
        <v>0</v>
      </c>
      <c r="G11">
        <v>0</v>
      </c>
      <c r="H11">
        <v>0</v>
      </c>
      <c r="I11">
        <v>1321</v>
      </c>
      <c r="J11">
        <v>0</v>
      </c>
      <c r="K11">
        <v>35859</v>
      </c>
      <c r="L11" t="s">
        <v>17</v>
      </c>
      <c r="M11" s="9">
        <f t="shared" si="0"/>
        <v>3.6838729468194872E-2</v>
      </c>
    </row>
    <row r="12" spans="1:13" x14ac:dyDescent="0.8">
      <c r="A12" s="10">
        <v>45611</v>
      </c>
      <c r="B12" t="s">
        <v>18</v>
      </c>
      <c r="C12">
        <v>61380</v>
      </c>
      <c r="D12">
        <v>0</v>
      </c>
      <c r="E12">
        <v>0</v>
      </c>
      <c r="F12">
        <v>0</v>
      </c>
      <c r="G12">
        <v>0</v>
      </c>
      <c r="H12">
        <v>0</v>
      </c>
      <c r="I12">
        <v>2244</v>
      </c>
      <c r="J12">
        <v>0</v>
      </c>
      <c r="K12">
        <v>59136</v>
      </c>
      <c r="L12" t="s">
        <v>17</v>
      </c>
      <c r="M12" s="9">
        <f t="shared" si="0"/>
        <v>3.7946428571428568E-2</v>
      </c>
    </row>
    <row r="13" spans="1:13" x14ac:dyDescent="0.8">
      <c r="A13" s="10">
        <v>45604</v>
      </c>
      <c r="B13" t="s">
        <v>18</v>
      </c>
      <c r="C13">
        <v>15180</v>
      </c>
      <c r="D13">
        <v>0</v>
      </c>
      <c r="E13">
        <v>0</v>
      </c>
      <c r="F13">
        <v>0</v>
      </c>
      <c r="G13">
        <v>0</v>
      </c>
      <c r="H13">
        <v>0</v>
      </c>
      <c r="I13">
        <v>540</v>
      </c>
      <c r="J13">
        <v>0</v>
      </c>
      <c r="K13">
        <v>14640</v>
      </c>
      <c r="L13" t="s">
        <v>17</v>
      </c>
      <c r="M13" s="9">
        <f t="shared" si="0"/>
        <v>3.6885245901639344E-2</v>
      </c>
    </row>
    <row r="14" spans="1:13" x14ac:dyDescent="0.8">
      <c r="A14" s="10">
        <v>45597</v>
      </c>
      <c r="B14" t="s">
        <v>18</v>
      </c>
      <c r="C14">
        <v>146960</v>
      </c>
      <c r="D14">
        <v>0</v>
      </c>
      <c r="E14">
        <v>0</v>
      </c>
      <c r="F14">
        <v>0</v>
      </c>
      <c r="G14">
        <v>0</v>
      </c>
      <c r="H14">
        <v>0</v>
      </c>
      <c r="I14">
        <v>5256</v>
      </c>
      <c r="J14">
        <v>0</v>
      </c>
      <c r="K14">
        <v>141704</v>
      </c>
      <c r="L14" t="s">
        <v>17</v>
      </c>
      <c r="M14" s="9">
        <f t="shared" si="0"/>
        <v>3.7091401795291593E-2</v>
      </c>
    </row>
    <row r="15" spans="1:13" x14ac:dyDescent="0.8">
      <c r="A15" s="10">
        <v>45590</v>
      </c>
      <c r="B15" t="s">
        <v>18</v>
      </c>
      <c r="C15">
        <v>59180</v>
      </c>
      <c r="D15">
        <v>0</v>
      </c>
      <c r="E15">
        <v>0</v>
      </c>
      <c r="F15">
        <v>0</v>
      </c>
      <c r="G15">
        <v>0</v>
      </c>
      <c r="H15">
        <v>0</v>
      </c>
      <c r="I15">
        <v>2101</v>
      </c>
      <c r="J15">
        <v>0</v>
      </c>
      <c r="K15">
        <v>57079</v>
      </c>
      <c r="L15" t="s">
        <v>17</v>
      </c>
      <c r="M15" s="9">
        <f t="shared" si="0"/>
        <v>3.6808633648101753E-2</v>
      </c>
    </row>
    <row r="16" spans="1:13" x14ac:dyDescent="0.8">
      <c r="A16" s="10">
        <v>45576</v>
      </c>
      <c r="B16" t="s">
        <v>18</v>
      </c>
      <c r="C16">
        <v>254320</v>
      </c>
      <c r="D16">
        <v>0</v>
      </c>
      <c r="E16">
        <v>0</v>
      </c>
      <c r="F16">
        <v>0</v>
      </c>
      <c r="G16">
        <v>0</v>
      </c>
      <c r="H16">
        <v>0</v>
      </c>
      <c r="I16">
        <v>9246</v>
      </c>
      <c r="J16">
        <v>0</v>
      </c>
      <c r="K16">
        <v>245074</v>
      </c>
      <c r="L16" t="s">
        <v>17</v>
      </c>
      <c r="M16" s="9">
        <f t="shared" si="0"/>
        <v>3.7727380301459966E-2</v>
      </c>
    </row>
    <row r="17" spans="1:13" x14ac:dyDescent="0.8">
      <c r="A17" t="s">
        <v>16</v>
      </c>
      <c r="I17">
        <f>SUM(I2:I16)</f>
        <v>35731</v>
      </c>
      <c r="K17">
        <f>SUM(K2:K16)</f>
        <v>958229</v>
      </c>
      <c r="M17" s="9">
        <f t="shared" si="0"/>
        <v>3.7288581330767491E-2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レヴェニューシェア資料</vt:lpstr>
      <vt:lpstr>Amazon詳細</vt:lpstr>
      <vt:lpstr>shopify手数料試算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一人 松窪</dc:creator>
  <cp:lastModifiedBy>浩晃 原</cp:lastModifiedBy>
  <cp:lastPrinted>2025-03-03T03:43:09Z</cp:lastPrinted>
  <dcterms:created xsi:type="dcterms:W3CDTF">2025-01-24T08:40:17Z</dcterms:created>
  <dcterms:modified xsi:type="dcterms:W3CDTF">2026-01-21T03:59:36Z</dcterms:modified>
</cp:coreProperties>
</file>