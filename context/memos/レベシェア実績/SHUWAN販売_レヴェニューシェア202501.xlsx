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0" documentId="8_{3C5489A9-43ED-4D60-AE67-3EA31D3410EF}" xr6:coauthVersionLast="47" xr6:coauthVersionMax="47" xr10:uidLastSave="{00000000-0000-0000-0000-000000000000}"/>
  <bookViews>
    <workbookView xWindow="-98" yWindow="-98" windowWidth="21795" windowHeight="13875" xr2:uid="{9516FBB4-3A9B-6D45-85D3-EE0B367FE07A}"/>
  </bookViews>
  <sheets>
    <sheet name="レヴェニューシェア資料" sheetId="2" r:id="rId1"/>
    <sheet name="shopify手数料試算" sheetId="3" r:id="rId2"/>
  </sheets>
  <definedNames>
    <definedName name="payment_transactions_export_1__2" localSheetId="1">shopify手数料試算!#REF!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9" i="2"/>
  <c r="C8" i="2"/>
  <c r="I17" i="3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D9" i="2"/>
  <c r="D8" i="2"/>
  <c r="B10" i="2"/>
  <c r="D10" i="2" s="1"/>
  <c r="D3" i="2"/>
  <c r="D4" i="2" s="1"/>
  <c r="B15" i="2" s="1"/>
  <c r="D11" i="2" l="1"/>
  <c r="D12" i="2" s="1"/>
  <c r="B16" i="2"/>
  <c r="B17" i="2" s="1"/>
  <c r="B19" i="2" l="1"/>
  <c r="B18" i="2"/>
</calcChain>
</file>

<file path=xl/sharedStrings.xml><?xml version="1.0" encoding="utf-8"?>
<sst xmlns="http://schemas.openxmlformats.org/spreadsheetml/2006/main" count="69" uniqueCount="37">
  <si>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</si>
  <si>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</si>
  <si>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</si>
  <si>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</si>
  <si>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</si>
  <si>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</si>
  <si>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</si>
  <si>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</si>
  <si>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</si>
  <si>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</t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</si>
  <si>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</si>
  <si>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</si>
  <si>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</si>
  <si>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</si>
  <si>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オンラインショップ変動費 計</t>
    <phoneticPr fontId="1"/>
  </si>
  <si>
    <t>売上</t>
    <rPh sb="0" eb="2">
      <t xml:space="preserve">ウリアゲ </t>
    </rPh>
    <phoneticPr fontId="1"/>
  </si>
  <si>
    <t>オンラインショップ</t>
    <phoneticPr fontId="1"/>
  </si>
  <si>
    <t>オンラインショップ売上 計</t>
    <rPh sb="9" eb="11">
      <t xml:space="preserve">ウリアゲ </t>
    </rPh>
    <rPh sb="12" eb="13">
      <t xml:space="preserve">ケイ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</si>
  <si>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</si>
  <si>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</si>
  <si>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</si>
  <si>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</si>
  <si>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</si>
  <si>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</si>
  <si>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</si>
  <si>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</si>
  <si>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</si>
  <si>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</si>
  <si>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</si>
  <si>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</si>
  <si>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</si>
  <si>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</si>
  <si>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</si>
  <si>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</si>
  <si>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</si>
  <si>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</si>
  <si>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ショッピファイ手数料(3.73%)</t>
    <rPh sb="7" eb="10">
      <t xml:space="preserve">テスウリョウ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</si>
</sst>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6" fontId="4" fillId="2" borderId="1" xfId="2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D21"/>
  <sheetViews>
    <sheetView tabSelected="1" workbookViewId="0">
      <selection activeCell="B17" sqref="B17"/>
    </sheetView>
  </sheetViews>
  <sheetFormatPr defaultColWidth="10.71875" defaultRowHeight="24.4" x14ac:dyDescent="0.8"/>
  <cols>
    <col min="1" max="1" width="31.83203125" style="1" bestFit="1" customWidth="1"/>
    <col min="2" max="2" width="10.33203125" style="1" bestFit="1" customWidth="1"/>
    <col min="3" max="3" width="6" style="1" bestFit="1" customWidth="1"/>
    <col min="4" max="4" width="11.88671875" style="1" customWidth="1"/>
    <col min="5" max="16384" width="10.71875" style="1"/>
  </cols>
  <sheetData>
    <row r="1" spans="1:4" x14ac:dyDescent="0.8">
      <c r="A1" s="1" t="s">
        <v>15</v>
      </c>
    </row>
    <row r="2" spans="1:4" x14ac:dyDescent="0.8">
      <c r="A2" s="2" t="s">
        <v>16</v>
      </c>
      <c r="B2" s="2" t="s">
        <v>5</v>
      </c>
      <c r="C2" s="2" t="s">
        <v>3</v>
      </c>
      <c r="D2" s="2" t="s">
        <v>18</v>
      </c>
    </row>
    <row r="3" spans="1:4" x14ac:dyDescent="0.8">
      <c r="A3" s="2" t="s">
        <v>9</v>
      </c>
      <c r="B3" s="3">
        <v>3600</v>
      </c>
      <c r="C3" s="4">
        <v>35</v>
      </c>
      <c r="D3" s="3">
        <f>C3*$B$3</f>
        <v>126000</v>
      </c>
    </row>
    <row r="4" spans="1:4" x14ac:dyDescent="0.8">
      <c r="A4" s="2" t="s">
        <v>17</v>
      </c>
      <c r="B4" s="2"/>
      <c r="C4" s="2"/>
      <c r="D4" s="3">
        <f>SUM(D1:D3)</f>
        <v>126000</v>
      </c>
    </row>
    <row r="5" spans="1:4" x14ac:dyDescent="0.8">
      <c r="A5" s="5"/>
      <c r="B5" s="5"/>
      <c r="C5" s="5"/>
      <c r="D5" s="6"/>
    </row>
    <row r="6" spans="1:4" x14ac:dyDescent="0.8">
      <c r="A6" s="5" t="s">
        <v>4</v>
      </c>
      <c r="B6" s="7"/>
      <c r="D6" s="7"/>
    </row>
    <row r="7" spans="1:4" x14ac:dyDescent="0.8">
      <c r="A7" s="2" t="s">
        <v>14</v>
      </c>
      <c r="B7" s="2" t="s">
        <v>5</v>
      </c>
      <c r="C7" s="2" t="s">
        <v>3</v>
      </c>
      <c r="D7" s="2" t="s">
        <v>18</v>
      </c>
    </row>
    <row r="8" spans="1:4" x14ac:dyDescent="0.8">
      <c r="A8" s="2" t="s">
        <v>10</v>
      </c>
      <c r="B8" s="3">
        <v>1050</v>
      </c>
      <c r="C8" s="4">
        <f>C3</f>
        <v>35</v>
      </c>
      <c r="D8" s="3">
        <f>B8*C8</f>
        <v>36750</v>
      </c>
    </row>
    <row r="9" spans="1:4" x14ac:dyDescent="0.8">
      <c r="A9" s="2" t="s">
        <v>6</v>
      </c>
      <c r="B9" s="3">
        <v>100</v>
      </c>
      <c r="C9" s="4">
        <f>C8</f>
        <v>35</v>
      </c>
      <c r="D9" s="3">
        <f>B9*C9</f>
        <v>3500</v>
      </c>
    </row>
    <row r="10" spans="1:4" x14ac:dyDescent="0.8">
      <c r="A10" s="2" t="s">
        <v>7</v>
      </c>
      <c r="B10" s="3">
        <f>ROUND(150/1.1,0)</f>
        <v>136</v>
      </c>
      <c r="C10" s="4">
        <f>C9</f>
        <v>35</v>
      </c>
      <c r="D10" s="3">
        <f>B10*C10</f>
        <v>4760</v>
      </c>
    </row>
    <row r="11" spans="1:4" x14ac:dyDescent="0.8">
      <c r="A11" s="2" t="s">
        <v>36</v>
      </c>
      <c r="B11" s="11"/>
      <c r="C11" s="12"/>
      <c r="D11" s="3">
        <f>ROUND(D4*0.0373,0)</f>
        <v>4700</v>
      </c>
    </row>
    <row r="12" spans="1:4" x14ac:dyDescent="0.8">
      <c r="A12" s="2" t="s">
        <v>14</v>
      </c>
      <c r="B12" s="13"/>
      <c r="C12" s="13"/>
      <c r="D12" s="3">
        <f>SUM(D8:D11)</f>
        <v>49710</v>
      </c>
    </row>
    <row r="14" spans="1:4" x14ac:dyDescent="0.8">
      <c r="A14" s="2" t="s">
        <v>2</v>
      </c>
      <c r="B14" s="2" t="s">
        <v>8</v>
      </c>
    </row>
    <row r="15" spans="1:4" x14ac:dyDescent="0.8">
      <c r="A15" s="2" t="s">
        <v>11</v>
      </c>
      <c r="B15" s="8">
        <f>D4</f>
        <v>126000</v>
      </c>
    </row>
    <row r="16" spans="1:4" x14ac:dyDescent="0.8">
      <c r="A16" s="2" t="s">
        <v>12</v>
      </c>
      <c r="B16" s="8">
        <f>D12</f>
        <v>49710</v>
      </c>
    </row>
    <row r="17" spans="1:2" x14ac:dyDescent="0.8">
      <c r="A17" s="2" t="s">
        <v>0</v>
      </c>
      <c r="B17" s="8">
        <f>B15-B16</f>
        <v>76290</v>
      </c>
    </row>
    <row r="18" spans="1:2" x14ac:dyDescent="0.8">
      <c r="A18" s="2" t="s">
        <v>1</v>
      </c>
      <c r="B18" s="14">
        <f>ROUND(B17*0.6,0)</f>
        <v>45774</v>
      </c>
    </row>
    <row r="19" spans="1:2" x14ac:dyDescent="0.8">
      <c r="A19" s="2" t="s">
        <v>13</v>
      </c>
      <c r="B19" s="3">
        <f>B17*0.4</f>
        <v>30516</v>
      </c>
    </row>
    <row r="21" spans="1:2" x14ac:dyDescent="0.8">
      <c r="A21" s="1" t="s">
        <v>19</v>
      </c>
    </row>
  </sheetData>
  <phoneticPr fontId="1"/>
  <pageMargins left="0.25" right="0.25" top="0.75" bottom="0.75" header="0.3" footer="0.3"/>
  <pageSetup paperSize="9" orientation="portrait" horizontalDpi="0" verticalDpi="0"/>
  <headerFooter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topLeftCell="E1"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35</v>
      </c>
      <c r="B1" t="s">
        <v>34</v>
      </c>
      <c r="C1" t="s">
        <v>33</v>
      </c>
      <c r="D1" t="s">
        <v>32</v>
      </c>
      <c r="E1" t="s">
        <v>31</v>
      </c>
      <c r="F1" t="s">
        <v>30</v>
      </c>
      <c r="G1" t="s">
        <v>29</v>
      </c>
      <c r="H1" t="s">
        <v>28</v>
      </c>
      <c r="I1" t="s">
        <v>27</v>
      </c>
      <c r="J1" t="s">
        <v>26</v>
      </c>
      <c r="K1" t="s">
        <v>25</v>
      </c>
      <c r="L1" t="s">
        <v>24</v>
      </c>
      <c r="M1" s="9" t="s">
        <v>23</v>
      </c>
    </row>
    <row r="2" spans="1:13" x14ac:dyDescent="0.8">
      <c r="A2" s="10">
        <v>45681</v>
      </c>
      <c r="B2" t="s">
        <v>22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21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22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21</v>
      </c>
      <c r="M3" s="9">
        <f t="shared" si="0"/>
        <v>3.6885245901639344E-2</v>
      </c>
    </row>
    <row r="4" spans="1:13" x14ac:dyDescent="0.8">
      <c r="A4" s="10">
        <v>45667</v>
      </c>
      <c r="B4" t="s">
        <v>22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21</v>
      </c>
      <c r="M4" s="9">
        <f t="shared" si="0"/>
        <v>3.683953584438019E-2</v>
      </c>
    </row>
    <row r="5" spans="1:13" x14ac:dyDescent="0.8">
      <c r="A5" s="10">
        <v>45663</v>
      </c>
      <c r="B5" t="s">
        <v>22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21</v>
      </c>
      <c r="M5" s="9">
        <f t="shared" si="0"/>
        <v>3.6825461593389779E-2</v>
      </c>
    </row>
    <row r="6" spans="1:13" x14ac:dyDescent="0.8">
      <c r="A6" s="10">
        <v>45653</v>
      </c>
      <c r="B6" t="s">
        <v>22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21</v>
      </c>
      <c r="M6" s="9">
        <f t="shared" si="0"/>
        <v>3.718177377395572E-2</v>
      </c>
    </row>
    <row r="7" spans="1:13" x14ac:dyDescent="0.8">
      <c r="A7" s="10">
        <v>45646</v>
      </c>
      <c r="B7" t="s">
        <v>22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21</v>
      </c>
      <c r="M7" s="9">
        <f t="shared" si="0"/>
        <v>3.7838694971358347E-2</v>
      </c>
    </row>
    <row r="8" spans="1:13" x14ac:dyDescent="0.8">
      <c r="A8" s="10">
        <v>45639</v>
      </c>
      <c r="B8" t="s">
        <v>22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21</v>
      </c>
      <c r="M8" s="9">
        <f t="shared" si="0"/>
        <v>3.6861506055818852E-2</v>
      </c>
    </row>
    <row r="9" spans="1:13" x14ac:dyDescent="0.8">
      <c r="A9" s="10">
        <v>45632</v>
      </c>
      <c r="B9" t="s">
        <v>22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21</v>
      </c>
      <c r="M9" s="9">
        <f t="shared" si="0"/>
        <v>3.6818851251840944E-2</v>
      </c>
    </row>
    <row r="10" spans="1:13" x14ac:dyDescent="0.8">
      <c r="A10" s="10">
        <v>45625</v>
      </c>
      <c r="B10" t="s">
        <v>22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21</v>
      </c>
      <c r="M10" s="9">
        <f t="shared" si="0"/>
        <v>3.6831401917427932E-2</v>
      </c>
    </row>
    <row r="11" spans="1:13" x14ac:dyDescent="0.8">
      <c r="A11" s="10">
        <v>45618</v>
      </c>
      <c r="B11" t="s">
        <v>22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21</v>
      </c>
      <c r="M11" s="9">
        <f t="shared" si="0"/>
        <v>3.6838729468194872E-2</v>
      </c>
    </row>
    <row r="12" spans="1:13" x14ac:dyDescent="0.8">
      <c r="A12" s="10">
        <v>45611</v>
      </c>
      <c r="B12" t="s">
        <v>22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21</v>
      </c>
      <c r="M12" s="9">
        <f t="shared" si="0"/>
        <v>3.7946428571428568E-2</v>
      </c>
    </row>
    <row r="13" spans="1:13" x14ac:dyDescent="0.8">
      <c r="A13" s="10">
        <v>45604</v>
      </c>
      <c r="B13" t="s">
        <v>22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21</v>
      </c>
      <c r="M13" s="9">
        <f t="shared" si="0"/>
        <v>3.6885245901639344E-2</v>
      </c>
    </row>
    <row r="14" spans="1:13" x14ac:dyDescent="0.8">
      <c r="A14" s="10">
        <v>45597</v>
      </c>
      <c r="B14" t="s">
        <v>22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21</v>
      </c>
      <c r="M14" s="9">
        <f t="shared" si="0"/>
        <v>3.7091401795291593E-2</v>
      </c>
    </row>
    <row r="15" spans="1:13" x14ac:dyDescent="0.8">
      <c r="A15" s="10">
        <v>45590</v>
      </c>
      <c r="B15" t="s">
        <v>22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21</v>
      </c>
      <c r="M15" s="9">
        <f t="shared" si="0"/>
        <v>3.6808633648101753E-2</v>
      </c>
    </row>
    <row r="16" spans="1:13" x14ac:dyDescent="0.8">
      <c r="A16" s="10">
        <v>45576</v>
      </c>
      <c r="B16" t="s">
        <v>22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21</v>
      </c>
      <c r="M16" s="9">
        <f t="shared" si="0"/>
        <v>3.7727380301459966E-2</v>
      </c>
    </row>
    <row r="17" spans="1:13" x14ac:dyDescent="0.8">
      <c r="A17" t="s">
        <v>20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レヴェニューシェア資料</vt:lpstr>
      <vt:lpstr>shopify手数料試算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dcterms:created xsi:type="dcterms:W3CDTF">2025-01-24T08:40:17Z</dcterms:created>
  <dcterms:modified xsi:type="dcterms:W3CDTF">2025-02-04T08:54:10Z</dcterms:modified>
</cp:coreProperties>
</file>