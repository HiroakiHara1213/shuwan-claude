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0" documentId="8_{9EBEB066-A009-4604-90E4-E8AA7BD9DFFB}" xr6:coauthVersionLast="47" xr6:coauthVersionMax="47" xr10:uidLastSave="{00000000-0000-0000-0000-000000000000}"/>
  <bookViews>
    <workbookView xWindow="-98" yWindow="-98" windowWidth="21795" windowHeight="14235" xr2:uid="{9516FBB4-3A9B-6D45-85D3-EE0B367FE07A}"/>
  </bookViews>
  <sheets>
    <sheet name="レヴェニューシェア資料" sheetId="2" r:id="rId1"/>
    <sheet name="Amazon詳細" sheetId="5" r:id="rId2"/>
    <sheet name="留保中12月請求時確認" sheetId="6" r:id="rId3"/>
    <sheet name="shopify手数料試算" sheetId="3" r:id="rId4"/>
  </sheets>
  <definedNames>
    <definedName name="_xlnm._FilterDatabase" localSheetId="1" hidden="1">Amazon詳細!$A$1:$M$73</definedName>
    <definedName name="payment_transactions_export_1__2" localSheetId="3">shopify手数料試算!#REF!</definedName>
    <definedName name="_xlnm.Print_Area" localSheetId="0">レヴェニューシェア資料!$A$1:$E$56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2" l="1"/>
  <c r="D44" i="2"/>
  <c r="D10" i="2"/>
  <c r="D37" i="2"/>
  <c r="D38" i="2"/>
  <c r="C17" i="2"/>
  <c r="C39" i="2" s="1"/>
  <c r="D14" i="2"/>
  <c r="D13" i="2"/>
  <c r="C41" i="2" l="1"/>
  <c r="C42" i="2"/>
  <c r="J67" i="5" l="1"/>
  <c r="I67" i="5"/>
  <c r="H72" i="5"/>
  <c r="H67" i="5"/>
  <c r="G67" i="5"/>
  <c r="L67" i="5"/>
  <c r="M67" i="5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" i="6"/>
  <c r="D20" i="2"/>
  <c r="D27" i="2" s="1"/>
  <c r="K67" i="5"/>
  <c r="F67" i="5"/>
  <c r="H73" i="5" l="1"/>
  <c r="D32" i="2"/>
  <c r="D31" i="2"/>
  <c r="D30" i="2"/>
  <c r="D33" i="2" l="1"/>
  <c r="B51" i="2" s="1"/>
  <c r="G6" i="2" l="1"/>
  <c r="H6" i="2" s="1"/>
  <c r="G5" i="2"/>
  <c r="H5" i="2" s="1"/>
  <c r="G4" i="2"/>
  <c r="H4" i="2" s="1"/>
  <c r="G3" i="2"/>
  <c r="H3" i="2" s="1"/>
  <c r="C7" i="2"/>
  <c r="C40" i="2" s="1"/>
  <c r="B6" i="2"/>
  <c r="D6" i="2" s="1"/>
  <c r="B5" i="2"/>
  <c r="D5" i="2" s="1"/>
  <c r="B4" i="2"/>
  <c r="D4" i="2" s="1"/>
  <c r="B3" i="2"/>
  <c r="D3" i="2" s="1"/>
  <c r="D41" i="2" l="1"/>
  <c r="H7" i="2"/>
  <c r="D40" i="2" s="1"/>
  <c r="B40" i="2" s="1"/>
  <c r="D7" i="2"/>
  <c r="D43" i="2" s="1"/>
  <c r="D16" i="2" l="1"/>
  <c r="B50" i="2" l="1"/>
  <c r="B22" i="2"/>
  <c r="D39" i="2" l="1"/>
  <c r="D15" i="2"/>
  <c r="D17" i="2" s="1"/>
  <c r="I17" i="3" l="1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42" i="2"/>
  <c r="D42" i="2" s="1"/>
  <c r="D45" i="2" s="1"/>
  <c r="B48" i="2" l="1"/>
  <c r="B49" i="2" l="1"/>
  <c r="B52" i="2" s="1"/>
  <c r="B53" i="2" l="1"/>
  <c r="B54" i="2" l="1"/>
</calcChain>
</file>

<file path=xl/sharedStrings.xml><?xml version="1.0" encoding="utf-8"?>
<sst xmlns="http://schemas.openxmlformats.org/spreadsheetml/2006/main" count="520" uniqueCount="189">
  <si>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</si>
  <si>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</si>
  <si>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</si>
  <si>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</si>
  <si>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</si>
  <si>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</si>
  <si>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</si>
  <si>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</si>
  <si>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</si>
  <si>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</si>
  <si>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</si>
  <si>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</si>
  <si>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</si>
  <si>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</si>
  <si>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</si>
  <si>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</si>
  <si>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</si>
  <si>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</si>
  <si>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</si>
  <si>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</si>
  <si>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</si>
  <si>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</si>
  <si>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</si>
  <si>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</si>
  <si>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</si>
  <si>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</si>
  <si>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</si>
  <si>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</si>
  <si>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</si>
  <si>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</si>
  <si>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</si>
  <si>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</si>
  <si>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</si>
  <si>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</si>
  <si>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</si>
  <si>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</si>
  <si>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</si>
  <si>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</si>
  <si>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</si>
  <si>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</si>
  <si>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</si>
  <si>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</si>
  <si>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</si>
  <si>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</si>
  <si>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</si>
  <si>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</si>
  <si>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</si>
  <si>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</si>
  <si>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</si>
  <si>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</si>
  <si>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</si>
  <si>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</si>
  <si>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</si>
  <si>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サービス料金</t>
  </si>
  <si>
    <t>---</t>
  </si>
  <si>
    <t>広告費用</t>
  </si>
  <si>
    <t>月額登録料：</t>
  </si>
  <si>
    <t>その他費用</t>
    <phoneticPr fontId="1"/>
  </si>
  <si>
    <t>SHUWAN箱あり</t>
    <rPh sb="6" eb="7">
      <t xml:space="preserve">ハコアリ </t>
    </rPh>
    <phoneticPr fontId="1"/>
  </si>
  <si>
    <t>販売数量</t>
    <rPh sb="0" eb="2">
      <t xml:space="preserve">ハンバイ </t>
    </rPh>
    <rPh sb="2" eb="4">
      <t xml:space="preserve">スウリョウ </t>
    </rPh>
    <phoneticPr fontId="4"/>
  </si>
  <si>
    <t>FBA保管手数料：</t>
  </si>
  <si>
    <t>留保中</t>
  </si>
  <si>
    <t>(税抜)</t>
    <phoneticPr fontId="1"/>
  </si>
  <si>
    <t>オンラインショップ SHUWAN</t>
    <rPh sb="0" eb="2">
      <t>オンラインショップ</t>
    </rPh>
    <phoneticPr fontId="1"/>
  </si>
  <si>
    <t>オンラインショップ 桐箱2碗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</si>
  <si>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桐箱1碗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</si>
  <si>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紙袋2碗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</si>
  <si>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オンラインショップ 紙袋1碗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</si>
  <si>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桐箱&amp;紙袋 原価</t>
    <rPh sb="0" eb="2">
      <t xml:space="preserve">キリバコ </t>
    </rPh>
    <rPh sb="3" eb="5">
      <t xml:space="preserve">カミブクロ </t>
    </rPh>
    <phoneticPr fontId="1"/>
  </si>
  <si>
    <t>原価</t>
    <rPh sb="0" eb="2">
      <t xml:space="preserve">ゲンカ </t>
    </rPh>
    <phoneticPr fontId="1"/>
  </si>
  <si>
    <t>月額登録料(税込)</t>
    <rPh sb="6" eb="8">
      <t xml:space="preserve">ゼイコミ </t>
    </rPh>
    <phoneticPr fontId="1"/>
  </si>
  <si>
    <t>広告費用(税込)</t>
    <phoneticPr fontId="1"/>
  </si>
  <si>
    <t>アマゾン手数料 (税抜)</t>
    <rPh sb="4" eb="7">
      <t xml:space="preserve">テスウリョウ </t>
    </rPh>
    <rPh sb="9" eb="11">
      <t xml:space="preserve">ゼイヌキ </t>
    </rPh>
    <phoneticPr fontId="1"/>
  </si>
  <si>
    <t>プロモーション割引
税込合計(税抜)</t>
    <rPh sb="10" eb="12">
      <t xml:space="preserve">ゼイコミ </t>
    </rPh>
    <phoneticPr fontId="1"/>
  </si>
  <si>
    <t>Amazon手数料
月額登録料
広告費用
(税抜)</t>
    <phoneticPr fontId="1"/>
  </si>
  <si>
    <t>その他
(税抜)</t>
    <phoneticPr fontId="1"/>
  </si>
  <si>
    <t>販売金額
税込合計
(税抜)</t>
    <rPh sb="0" eb="4">
      <t xml:space="preserve">ハンバイキンガク </t>
    </rPh>
    <rPh sb="4" eb="6">
      <t xml:space="preserve">ゼイコミ </t>
    </rPh>
    <rPh sb="6" eb="8">
      <t xml:space="preserve">ゴウケイ </t>
    </rPh>
    <phoneticPr fontId="1"/>
  </si>
  <si>
    <t>その他+ 保管料</t>
    <rPh sb="5" eb="8">
      <t xml:space="preserve">ホカンリョウ </t>
    </rPh>
    <phoneticPr fontId="1"/>
  </si>
  <si>
    <t>SHUWAN 酒器 おちょこ ぐい呑み 日本酒グラス 270ml 磁器 日本製 ...</t>
  </si>
  <si>
    <t>goooods</t>
    <phoneticPr fontId="1"/>
  </si>
  <si>
    <t>SHUWAN</t>
    <phoneticPr fontId="1"/>
  </si>
  <si>
    <t>取引手数料</t>
    <phoneticPr fontId="1"/>
  </si>
  <si>
    <t>事務手数料</t>
    <phoneticPr fontId="1"/>
  </si>
  <si>
    <t>goooods収支合計</t>
    <rPh sb="0" eb="2">
      <t xml:space="preserve">ゴウケイ </t>
    </rPh>
    <rPh sb="7" eb="9">
      <t xml:space="preserve">シュウシ </t>
    </rPh>
    <phoneticPr fontId="1"/>
  </si>
  <si>
    <t>goooods収支</t>
    <phoneticPr fontId="1"/>
  </si>
  <si>
    <t>503-6507365-4120654</t>
  </si>
  <si>
    <t>503-5903037-0357468</t>
  </si>
  <si>
    <t>250-6040162-9227042</t>
  </si>
  <si>
    <t>249-7065941-0523003</t>
  </si>
  <si>
    <t>250-9319205-2697427</t>
  </si>
  <si>
    <t>250-1734693-3409432</t>
  </si>
  <si>
    <t>250-7370376-1357458</t>
  </si>
  <si>
    <t>503-0884348-0303813</t>
  </si>
  <si>
    <t>返金</t>
  </si>
  <si>
    <t>250-9134522-5169467</t>
  </si>
  <si>
    <t>桐箱1</t>
    <rPh sb="0" eb="2">
      <t xml:space="preserve">キリバコ </t>
    </rPh>
    <phoneticPr fontId="1"/>
  </si>
  <si>
    <t>桐箱2</t>
    <rPh sb="0" eb="2">
      <t xml:space="preserve">キリバコ </t>
    </rPh>
    <phoneticPr fontId="1"/>
  </si>
  <si>
    <t>プロモーション手数料(税込)</t>
    <phoneticPr fontId="1"/>
  </si>
  <si>
    <t>月額登録料
広告費用
プロモーション手数料
(税抜)</t>
    <phoneticPr fontId="1"/>
  </si>
  <si>
    <t>広告費用
月額登録料
プロモーション手数料</t>
    <phoneticPr fontId="1"/>
  </si>
  <si>
    <t>アマゾン販売分木箱コスト</t>
    <rPh sb="4" eb="7">
      <t xml:space="preserve">ハンバイブン </t>
    </rPh>
    <rPh sb="7" eb="9">
      <t xml:space="preserve">キバコ </t>
    </rPh>
    <phoneticPr fontId="1"/>
  </si>
  <si>
    <t>アマゾン桐箱 1碗箱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</si>
  <si>
    <t>250-8954102-9391017</t>
  </si>
  <si>
    <t>503-9834022-3802236</t>
  </si>
  <si>
    <t>503-3787157-8335851</t>
  </si>
  <si>
    <t>250-5124994-7275808</t>
  </si>
  <si>
    <t>250-6891371-8622268</t>
  </si>
  <si>
    <t>503-8678431-4621422</t>
  </si>
  <si>
    <t>249-8308517-4244639</t>
  </si>
  <si>
    <t>250-3742431-2491028</t>
  </si>
  <si>
    <t>249-1271549-1624648</t>
  </si>
  <si>
    <t>249-8595065-4910235</t>
  </si>
  <si>
    <t>503-9432693-3415801</t>
  </si>
  <si>
    <t>250-6981260-6800624</t>
  </si>
  <si>
    <t>249-9560513-3771000</t>
  </si>
  <si>
    <t>503-3478844-4646258</t>
  </si>
  <si>
    <t>250-5932727-3878231</t>
  </si>
  <si>
    <t>503-5950374-8490244</t>
  </si>
  <si>
    <t>249-1065897-9038216</t>
  </si>
  <si>
    <t>503-0261299-8147867</t>
  </si>
  <si>
    <t>250-8348899-3794202</t>
  </si>
  <si>
    <t>249-8928561-7114211</t>
  </si>
  <si>
    <t>250-9919626-4787055</t>
  </si>
  <si>
    <t>250-3322077-0233440</t>
  </si>
  <si>
    <t>249-8699371-1530228</t>
  </si>
  <si>
    <t>249-1634951-3468633</t>
  </si>
  <si>
    <t>503-2578347-7759823</t>
  </si>
  <si>
    <t>250-3921390-8347859</t>
  </si>
  <si>
    <t>503-0385788-6279006</t>
  </si>
  <si>
    <t>249-0388745-2832655</t>
  </si>
  <si>
    <t>250-2482330-1079802</t>
  </si>
  <si>
    <t>503-8042438-0183809</t>
  </si>
  <si>
    <t>250-3852806-7790259</t>
  </si>
  <si>
    <t>250-7578995-3405464</t>
  </si>
  <si>
    <t>250-5810668-7487024</t>
  </si>
  <si>
    <t>249-3247428-3539807</t>
  </si>
  <si>
    <t>250-1699896-5497400</t>
  </si>
  <si>
    <t>249-5066877-8674206</t>
  </si>
  <si>
    <t>249-8378550-7232601</t>
  </si>
  <si>
    <t>249-4683736-3028666</t>
  </si>
  <si>
    <t>249-5654791-7338228</t>
  </si>
  <si>
    <t>503-0274060-1999819</t>
  </si>
  <si>
    <t>250-8393145-9075022</t>
  </si>
  <si>
    <t>249-1601609-4735033</t>
  </si>
  <si>
    <t>503-6005907-5364626</t>
  </si>
  <si>
    <t>503-1553886-2031802</t>
  </si>
  <si>
    <t>在庫の払い戻し</t>
  </si>
  <si>
    <t>FBA在庫の返金</t>
  </si>
  <si>
    <t>503-7025694-0512621</t>
  </si>
  <si>
    <t>249-8486373-4271826</t>
  </si>
  <si>
    <t>249-2753670-2155048</t>
  </si>
  <si>
    <t>503-2013545-5135033</t>
  </si>
  <si>
    <t>249-3184163-2910201</t>
  </si>
  <si>
    <t>250-4650511-7734228</t>
  </si>
  <si>
    <t>249-4168228-6351862</t>
  </si>
  <si>
    <t>503-3715259-9108626</t>
  </si>
  <si>
    <t>249-9837720-3591833</t>
  </si>
  <si>
    <t>250-6265678-5643029</t>
  </si>
  <si>
    <t>503-7751489-9509403</t>
  </si>
  <si>
    <t>249-3087859-9163022</t>
  </si>
  <si>
    <t>249-0662433-6281460</t>
  </si>
  <si>
    <t>249-7888061-2015835</t>
  </si>
  <si>
    <t>250-8033166-3884610</t>
  </si>
  <si>
    <t>249-1337308-1559807</t>
  </si>
  <si>
    <t>503-4914983-6451842</t>
  </si>
  <si>
    <t>249-1226716-0483042</t>
  </si>
  <si>
    <t>503-2463232-3152641</t>
  </si>
  <si>
    <t>249-2572055-3763827</t>
  </si>
  <si>
    <t>250-7320542-5241406</t>
  </si>
  <si>
    <t>250-9254669-7517411</t>
  </si>
  <si>
    <t>250-9432919-9326254</t>
  </si>
  <si>
    <t>250-9847926-9547853</t>
  </si>
  <si>
    <t>249-8880604-3652612</t>
  </si>
  <si>
    <t>503-4346602-5188612</t>
  </si>
  <si>
    <t>249-8272022-3090257</t>
  </si>
  <si>
    <t>503-5051714-0721457</t>
  </si>
  <si>
    <t>番号確認</t>
    <rPh sb="0" eb="2">
      <t xml:space="preserve">バンゴウ </t>
    </rPh>
    <rPh sb="2" eb="4">
      <t xml:space="preserve">カクニン </t>
    </rPh>
    <phoneticPr fontId="1"/>
  </si>
  <si>
    <t>アマゾン桐箱 2碗箱 原価</t>
    <rPh sb="4" eb="6">
      <t xml:space="preserve">キリバコ </t>
    </rPh>
    <rPh sb="8" eb="10">
      <t xml:space="preserve">ワンバコ </t>
    </rPh>
    <rPh sb="11" eb="13">
      <t xml:space="preserve">ゲンカ </t>
    </rPh>
    <phoneticPr fontId="1"/>
  </si>
  <si>
    <t>平均単価</t>
    <rPh sb="0" eb="2">
      <t xml:space="preserve">ヘイキン </t>
    </rPh>
    <rPh sb="2" eb="4">
      <t xml:space="preserve">タンカ </t>
    </rPh>
    <phoneticPr fontId="1"/>
  </si>
  <si>
    <t>SHUWAN箱なし</t>
    <rPh sb="6" eb="7">
      <t xml:space="preserve">ハコ </t>
    </rPh>
    <phoneticPr fontId="1"/>
  </si>
  <si>
    <t>炭之囲 ためえもん 20
J-CAT 10</t>
    <phoneticPr fontId="1"/>
  </si>
  <si>
    <t>島酒店10
ナビッピドットコム30
酒泉洞掘一30
エルスタイル30
小宮商店30
ワインショップ武田30</t>
    <rPh sb="0" eb="3">
      <t xml:space="preserve">シマサケテン </t>
    </rPh>
    <rPh sb="18" eb="23">
      <t xml:space="preserve">シュセンドウホリイチ </t>
    </rPh>
    <rPh sb="35" eb="39">
      <t xml:space="preserve">コミヤショウテン </t>
    </rPh>
    <rPh sb="49" eb="51">
      <t xml:space="preserve">タケダ </t>
    </rPh>
    <phoneticPr fontId="1"/>
  </si>
  <si>
    <t>オンラインショップ SHUWAN陶胎漆器</t>
    <rPh sb="0" eb="2">
      <t>オンラインショップ</t>
    </rPh>
    <rPh sb="16" eb="20">
      <t xml:space="preserve">トウタイシッキ </t>
    </rPh>
    <phoneticPr fontId="1"/>
  </si>
  <si>
    <t>SHUWAN陶胎漆器 原価</t>
    <rPh sb="0" eb="2">
      <t xml:space="preserve">ゲンカ </t>
    </rPh>
    <rPh sb="6" eb="10">
      <t xml:space="preserve">トウタイシッキ </t>
    </rPh>
    <phoneticPr fontId="1"/>
  </si>
  <si>
    <t>送料値引き</t>
    <rPh sb="0" eb="2">
      <t xml:space="preserve">ソウリョウ </t>
    </rPh>
    <rPh sb="2" eb="4">
      <t xml:space="preserve">ネビキ </t>
    </rPh>
    <phoneticPr fontId="1"/>
  </si>
  <si>
    <t>そそぎ売上</t>
    <rPh sb="3" eb="5">
      <t xml:space="preserve">ウリアゲ </t>
    </rPh>
    <phoneticPr fontId="1"/>
  </si>
  <si>
    <t>そそぎ原価</t>
    <rPh sb="3" eb="5">
      <t xml:space="preserve">ゲンカ </t>
    </rPh>
    <phoneticPr fontId="1"/>
  </si>
  <si>
    <t xml:space="preserve"> そそぎ込み</t>
    <rPh sb="4" eb="5">
      <t xml:space="preserve">コミ </t>
    </rPh>
    <phoneticPr fontId="1"/>
  </si>
  <si>
    <t>小宮商店21</t>
    <rPh sb="0" eb="2">
      <t xml:space="preserve">コミヤ </t>
    </rPh>
    <rPh sb="2" eb="4">
      <t xml:space="preserve">ショウテン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</si>
</sst>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箱無し販売&quot;0"/>
    <numFmt numFmtId="177" formatCode="&quot;対象外&quot;0"/>
  </numFmts>
  <fonts count="6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5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>
      <alignment vertical="center"/>
    </xf>
    <xf numFmtId="6" fontId="3" fillId="0" borderId="1" xfId="2" applyFont="1" applyBorder="1">
      <alignment vertical="center"/>
    </xf>
    <xf numFmtId="38" fontId="3" fillId="0" borderId="1" xfId="1" applyFont="1" applyBorder="1">
      <alignment vertical="center"/>
    </xf>
    <xf numFmtId="0" fontId="3" fillId="0" borderId="0" xfId="0" applyFont="1">
      <alignment vertical="center"/>
    </xf>
    <xf numFmtId="6" fontId="3" fillId="0" borderId="0" xfId="2" applyFont="1" applyBorder="1">
      <alignment vertical="center"/>
    </xf>
    <xf numFmtId="6" fontId="3" fillId="0" borderId="0" xfId="2" applyFont="1">
      <alignment vertical="center"/>
    </xf>
    <xf numFmtId="6" fontId="3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3" fillId="0" borderId="2" xfId="2" applyFont="1" applyFill="1" applyBorder="1">
      <alignment vertical="center"/>
    </xf>
    <xf numFmtId="38" fontId="3" fillId="0" borderId="2" xfId="1" applyFont="1" applyFill="1" applyBorder="1">
      <alignment vertical="center"/>
    </xf>
    <xf numFmtId="0" fontId="3" fillId="0" borderId="2" xfId="0" applyFont="1" applyBorder="1">
      <alignment vertical="center"/>
    </xf>
    <xf numFmtId="38" fontId="3" fillId="0" borderId="1" xfId="0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6" fontId="3" fillId="0" borderId="1" xfId="2" applyFont="1" applyFill="1" applyBorder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176" fontId="3" fillId="0" borderId="1" xfId="0" applyNumberFormat="1" applyFont="1" applyBorder="1">
      <alignment vertical="center"/>
    </xf>
    <xf numFmtId="10" fontId="3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0" fontId="3" fillId="2" borderId="1" xfId="0" applyFont="1" applyFill="1" applyBorder="1">
      <alignment vertical="center"/>
    </xf>
    <xf numFmtId="6" fontId="3" fillId="2" borderId="1" xfId="2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H56"/>
  <sheetViews>
    <sheetView tabSelected="1" view="pageBreakPreview" topLeftCell="A43" zoomScaleNormal="100" zoomScaleSheetLayoutView="100" workbookViewId="0">
      <selection activeCell="B22" sqref="B22:D22"/>
    </sheetView>
  </sheetViews>
  <sheetFormatPr defaultColWidth="10.71875" defaultRowHeight="24.4" x14ac:dyDescent="0.8"/>
  <cols>
    <col min="1" max="1" width="46.5546875" style="4" bestFit="1" customWidth="1"/>
    <col min="2" max="2" width="12" style="4" customWidth="1"/>
    <col min="3" max="3" width="6.44140625" style="4" bestFit="1" customWidth="1"/>
    <col min="4" max="4" width="12.71875" style="4" bestFit="1" customWidth="1"/>
    <col min="5" max="5" width="27" style="4" customWidth="1"/>
    <col min="6" max="6" width="3.27734375" style="4" customWidth="1"/>
    <col min="7" max="7" width="6.44140625" style="4" bestFit="1" customWidth="1"/>
    <col min="8" max="8" width="10.83203125" style="4" bestFit="1" customWidth="1"/>
    <col min="9" max="16384" width="10.71875" style="4"/>
  </cols>
  <sheetData>
    <row r="1" spans="1:8" x14ac:dyDescent="0.8">
      <c r="A1" s="4" t="s">
        <v>13</v>
      </c>
    </row>
    <row r="2" spans="1:8" x14ac:dyDescent="0.8">
      <c r="A2" s="1" t="s">
        <v>2</v>
      </c>
      <c r="B2" s="1" t="s">
        <v>5</v>
      </c>
      <c r="C2" s="1" t="s">
        <v>3</v>
      </c>
      <c r="D2" s="1" t="s">
        <v>14</v>
      </c>
      <c r="E2" s="1" t="s">
        <v>32</v>
      </c>
      <c r="G2" s="1" t="s">
        <v>69</v>
      </c>
      <c r="H2" s="1" t="s">
        <v>14</v>
      </c>
    </row>
    <row r="3" spans="1:8" x14ac:dyDescent="0.8">
      <c r="A3" s="1" t="s">
        <v>64</v>
      </c>
      <c r="B3" s="1">
        <f>ROUND(2000/1.1,0)</f>
        <v>1818</v>
      </c>
      <c r="C3" s="1">
        <v>15</v>
      </c>
      <c r="D3" s="2">
        <f>C3*B3</f>
        <v>27270</v>
      </c>
      <c r="E3" s="1"/>
      <c r="G3" s="1">
        <f>18+620</f>
        <v>638</v>
      </c>
      <c r="H3" s="1">
        <f>G3*C3</f>
        <v>9570</v>
      </c>
    </row>
    <row r="4" spans="1:8" x14ac:dyDescent="0.8">
      <c r="A4" s="1" t="s">
        <v>65</v>
      </c>
      <c r="B4" s="1">
        <f>ROUND(1000/1.1,0)</f>
        <v>909</v>
      </c>
      <c r="C4" s="1">
        <v>3</v>
      </c>
      <c r="D4" s="2">
        <f t="shared" ref="D4:D6" si="0">C4*B4</f>
        <v>2727</v>
      </c>
      <c r="E4" s="1"/>
      <c r="G4" s="1">
        <f>18+420</f>
        <v>438</v>
      </c>
      <c r="H4" s="1">
        <f t="shared" ref="H4:H6" si="1">G4*C4</f>
        <v>1314</v>
      </c>
    </row>
    <row r="5" spans="1:8" x14ac:dyDescent="0.8">
      <c r="A5" s="1" t="s">
        <v>66</v>
      </c>
      <c r="B5" s="1">
        <f>ROUND(250/1.1,0)</f>
        <v>227</v>
      </c>
      <c r="C5" s="1">
        <v>17</v>
      </c>
      <c r="D5" s="2">
        <f t="shared" si="0"/>
        <v>3859</v>
      </c>
      <c r="E5" s="1"/>
      <c r="G5" s="1">
        <f>18+103</f>
        <v>121</v>
      </c>
      <c r="H5" s="1">
        <f t="shared" si="1"/>
        <v>2057</v>
      </c>
    </row>
    <row r="6" spans="1:8" x14ac:dyDescent="0.8">
      <c r="A6" s="1" t="s">
        <v>67</v>
      </c>
      <c r="B6" s="1">
        <f>ROUND(220/1.1,0)</f>
        <v>200</v>
      </c>
      <c r="C6" s="1">
        <v>3</v>
      </c>
      <c r="D6" s="2">
        <f t="shared" si="0"/>
        <v>600</v>
      </c>
      <c r="E6" s="1"/>
      <c r="G6" s="1">
        <f>18+99</f>
        <v>117</v>
      </c>
      <c r="H6" s="1">
        <f t="shared" si="1"/>
        <v>351</v>
      </c>
    </row>
    <row r="7" spans="1:8" x14ac:dyDescent="0.8">
      <c r="A7" s="1" t="s">
        <v>33</v>
      </c>
      <c r="B7" s="10"/>
      <c r="C7" s="13">
        <f>SUM(C3:C6)</f>
        <v>38</v>
      </c>
      <c r="D7" s="2">
        <f>SUM(D3:D6)</f>
        <v>34456</v>
      </c>
      <c r="E7" s="1"/>
      <c r="G7" s="1"/>
      <c r="H7" s="2">
        <f>SUM(H3:H6)</f>
        <v>13292</v>
      </c>
    </row>
    <row r="9" spans="1:8" x14ac:dyDescent="0.8">
      <c r="A9" s="1" t="s">
        <v>2</v>
      </c>
      <c r="B9" s="1" t="s">
        <v>5</v>
      </c>
      <c r="C9" s="1" t="s">
        <v>3</v>
      </c>
      <c r="D9" s="1" t="s">
        <v>14</v>
      </c>
      <c r="E9" s="1" t="s">
        <v>32</v>
      </c>
    </row>
    <row r="10" spans="1:8" x14ac:dyDescent="0.8">
      <c r="A10" s="1" t="s">
        <v>185</v>
      </c>
      <c r="B10" s="2">
        <v>1000</v>
      </c>
      <c r="C10" s="3">
        <v>21</v>
      </c>
      <c r="D10" s="2">
        <f>C10*B10</f>
        <v>21000</v>
      </c>
      <c r="E10" s="1" t="s">
        <v>188</v>
      </c>
    </row>
    <row r="12" spans="1:8" x14ac:dyDescent="0.8">
      <c r="A12" s="1" t="s">
        <v>2</v>
      </c>
      <c r="B12" s="1" t="s">
        <v>5</v>
      </c>
      <c r="C12" s="1" t="s">
        <v>3</v>
      </c>
      <c r="D12" s="1" t="s">
        <v>14</v>
      </c>
      <c r="E12" s="1" t="s">
        <v>32</v>
      </c>
    </row>
    <row r="13" spans="1:8" x14ac:dyDescent="0.8">
      <c r="A13" s="1" t="s">
        <v>182</v>
      </c>
      <c r="B13" s="2">
        <v>18000</v>
      </c>
      <c r="C13" s="3">
        <v>3</v>
      </c>
      <c r="D13" s="2">
        <f>C13*B13</f>
        <v>54000</v>
      </c>
      <c r="E13" s="1"/>
    </row>
    <row r="14" spans="1:8" x14ac:dyDescent="0.8">
      <c r="A14" s="1" t="s">
        <v>63</v>
      </c>
      <c r="B14" s="2">
        <v>3900</v>
      </c>
      <c r="C14" s="3">
        <v>64</v>
      </c>
      <c r="D14" s="2">
        <f>C14*B14</f>
        <v>249600</v>
      </c>
      <c r="E14" s="1"/>
    </row>
    <row r="15" spans="1:8" ht="48.75" x14ac:dyDescent="0.8">
      <c r="A15" s="1" t="s">
        <v>179</v>
      </c>
      <c r="B15" s="2">
        <v>2950</v>
      </c>
      <c r="C15" s="3">
        <v>30</v>
      </c>
      <c r="D15" s="2">
        <f t="shared" ref="D15:D16" si="2">C15*B15</f>
        <v>88500</v>
      </c>
      <c r="E15" s="14" t="s">
        <v>180</v>
      </c>
    </row>
    <row r="16" spans="1:8" ht="146.25" x14ac:dyDescent="0.8">
      <c r="A16" s="1" t="s">
        <v>58</v>
      </c>
      <c r="B16" s="2">
        <v>2640</v>
      </c>
      <c r="C16" s="3">
        <v>162</v>
      </c>
      <c r="D16" s="2">
        <f t="shared" si="2"/>
        <v>427680</v>
      </c>
      <c r="E16" s="14" t="s">
        <v>181</v>
      </c>
    </row>
    <row r="17" spans="1:8" x14ac:dyDescent="0.8">
      <c r="A17" s="1" t="s">
        <v>33</v>
      </c>
      <c r="B17" s="10"/>
      <c r="C17" s="13">
        <f>SUM(C13:C16)</f>
        <v>259</v>
      </c>
      <c r="D17" s="2">
        <f>SUM(D10:D16)</f>
        <v>840780</v>
      </c>
      <c r="E17" s="1" t="s">
        <v>187</v>
      </c>
    </row>
    <row r="18" spans="1:8" x14ac:dyDescent="0.8">
      <c r="D18" s="5"/>
    </row>
    <row r="19" spans="1:8" x14ac:dyDescent="0.8">
      <c r="A19" s="1" t="s">
        <v>40</v>
      </c>
      <c r="B19" s="1" t="s">
        <v>178</v>
      </c>
      <c r="C19" s="1" t="s">
        <v>3</v>
      </c>
      <c r="D19" s="1" t="s">
        <v>14</v>
      </c>
      <c r="E19" s="1" t="s">
        <v>32</v>
      </c>
      <c r="H19" s="20"/>
    </row>
    <row r="20" spans="1:8" x14ac:dyDescent="0.8">
      <c r="A20" s="1" t="s">
        <v>101</v>
      </c>
      <c r="B20" s="1">
        <v>420</v>
      </c>
      <c r="C20" s="1">
        <v>15</v>
      </c>
      <c r="D20" s="2">
        <f t="shared" ref="D20" si="3">C20*B20</f>
        <v>6300</v>
      </c>
      <c r="E20" s="1" t="s">
        <v>100</v>
      </c>
      <c r="H20" s="20"/>
    </row>
    <row r="21" spans="1:8" x14ac:dyDescent="0.8">
      <c r="A21" s="1" t="s">
        <v>177</v>
      </c>
      <c r="B21" s="2"/>
      <c r="C21" s="1">
        <v>0</v>
      </c>
      <c r="D21" s="2"/>
      <c r="E21" s="1"/>
      <c r="H21" s="20"/>
    </row>
    <row r="22" spans="1:8" x14ac:dyDescent="0.8">
      <c r="A22" s="1" t="s">
        <v>36</v>
      </c>
      <c r="B22" s="2">
        <f>ROUND(D22/C22,0)</f>
        <v>4137</v>
      </c>
      <c r="C22" s="1">
        <v>61</v>
      </c>
      <c r="D22" s="2">
        <v>252365</v>
      </c>
      <c r="E22" s="1"/>
    </row>
    <row r="23" spans="1:8" x14ac:dyDescent="0.8">
      <c r="A23" s="1" t="s">
        <v>37</v>
      </c>
      <c r="B23" s="10"/>
      <c r="C23" s="10"/>
      <c r="D23" s="2">
        <v>1694</v>
      </c>
      <c r="E23" s="1"/>
    </row>
    <row r="24" spans="1:8" x14ac:dyDescent="0.8">
      <c r="A24" s="1" t="s">
        <v>38</v>
      </c>
      <c r="B24" s="10"/>
      <c r="C24" s="10"/>
      <c r="D24" s="2">
        <v>37894</v>
      </c>
      <c r="E24" s="1"/>
    </row>
    <row r="25" spans="1:8" x14ac:dyDescent="0.8">
      <c r="A25" s="1" t="s">
        <v>77</v>
      </c>
      <c r="B25" s="10"/>
      <c r="C25" s="10"/>
      <c r="D25" s="2">
        <v>-25695</v>
      </c>
      <c r="E25" s="1"/>
    </row>
    <row r="26" spans="1:8" ht="73.150000000000006" x14ac:dyDescent="0.8">
      <c r="A26" s="1" t="s">
        <v>57</v>
      </c>
      <c r="B26" s="16"/>
      <c r="C26" s="16"/>
      <c r="D26" s="2">
        <v>64780</v>
      </c>
      <c r="E26" s="14" t="s">
        <v>99</v>
      </c>
    </row>
    <row r="27" spans="1:8" x14ac:dyDescent="0.8">
      <c r="A27" s="1" t="s">
        <v>16</v>
      </c>
      <c r="B27" s="1"/>
      <c r="C27" s="1"/>
      <c r="D27" s="2">
        <f>D22-D23-D24-D25-D26-D20-D21</f>
        <v>167392</v>
      </c>
      <c r="E27" s="1"/>
    </row>
    <row r="28" spans="1:8" x14ac:dyDescent="0.8">
      <c r="D28" s="5"/>
    </row>
    <row r="29" spans="1:8" x14ac:dyDescent="0.8">
      <c r="A29" s="1" t="s">
        <v>79</v>
      </c>
      <c r="B29" s="1" t="s">
        <v>5</v>
      </c>
      <c r="C29" s="1" t="s">
        <v>3</v>
      </c>
      <c r="D29" s="1" t="s">
        <v>14</v>
      </c>
      <c r="E29" s="1" t="s">
        <v>32</v>
      </c>
    </row>
    <row r="30" spans="1:8" x14ac:dyDescent="0.8">
      <c r="A30" s="1" t="s">
        <v>80</v>
      </c>
      <c r="B30" s="2">
        <v>3120</v>
      </c>
      <c r="C30" s="1">
        <v>0</v>
      </c>
      <c r="D30" s="2">
        <f>C30*B30</f>
        <v>0</v>
      </c>
      <c r="E30" s="1"/>
    </row>
    <row r="31" spans="1:8" x14ac:dyDescent="0.8">
      <c r="A31" s="1" t="s">
        <v>81</v>
      </c>
      <c r="B31" s="2">
        <v>0</v>
      </c>
      <c r="C31" s="1">
        <v>0</v>
      </c>
      <c r="D31" s="2">
        <f>C31*B31</f>
        <v>0</v>
      </c>
      <c r="E31" s="1"/>
    </row>
    <row r="32" spans="1:8" x14ac:dyDescent="0.8">
      <c r="A32" s="1" t="s">
        <v>82</v>
      </c>
      <c r="B32" s="2">
        <v>0</v>
      </c>
      <c r="C32" s="1">
        <v>0</v>
      </c>
      <c r="D32" s="2">
        <f>C32*B32</f>
        <v>0</v>
      </c>
      <c r="E32" s="1"/>
    </row>
    <row r="33" spans="1:5" x14ac:dyDescent="0.8">
      <c r="A33" s="1" t="s">
        <v>83</v>
      </c>
      <c r="B33" s="10"/>
      <c r="C33" s="10"/>
      <c r="D33" s="2">
        <f>D30-D31-D32</f>
        <v>0</v>
      </c>
      <c r="E33" s="1"/>
    </row>
    <row r="34" spans="1:5" x14ac:dyDescent="0.8">
      <c r="D34" s="5"/>
    </row>
    <row r="35" spans="1:5" x14ac:dyDescent="0.8">
      <c r="A35" s="4" t="s">
        <v>4</v>
      </c>
      <c r="B35" s="6"/>
      <c r="D35" s="6"/>
    </row>
    <row r="36" spans="1:5" x14ac:dyDescent="0.8">
      <c r="A36" s="1" t="s">
        <v>2</v>
      </c>
      <c r="B36" s="1" t="s">
        <v>5</v>
      </c>
      <c r="C36" s="1" t="s">
        <v>3</v>
      </c>
      <c r="D36" s="1" t="s">
        <v>14</v>
      </c>
      <c r="E36" s="1" t="s">
        <v>32</v>
      </c>
    </row>
    <row r="37" spans="1:5" x14ac:dyDescent="0.8">
      <c r="A37" s="1" t="s">
        <v>184</v>
      </c>
      <c r="B37" s="1">
        <v>1000</v>
      </c>
      <c r="C37" s="1">
        <v>21</v>
      </c>
      <c r="D37" s="2">
        <f>B37*C37</f>
        <v>21000</v>
      </c>
      <c r="E37" s="1"/>
    </row>
    <row r="38" spans="1:5" x14ac:dyDescent="0.8">
      <c r="A38" s="1" t="s">
        <v>183</v>
      </c>
      <c r="B38" s="1">
        <v>6500</v>
      </c>
      <c r="C38" s="13">
        <f>C13</f>
        <v>3</v>
      </c>
      <c r="D38" s="2">
        <f>B38*C38</f>
        <v>19500</v>
      </c>
      <c r="E38" s="1"/>
    </row>
    <row r="39" spans="1:5" x14ac:dyDescent="0.8">
      <c r="A39" s="1" t="s">
        <v>9</v>
      </c>
      <c r="B39" s="2">
        <v>1260</v>
      </c>
      <c r="C39" s="3">
        <f>C17+C22+C30-C13</f>
        <v>317</v>
      </c>
      <c r="D39" s="2">
        <f>B39*C39</f>
        <v>399420</v>
      </c>
      <c r="E39" s="1"/>
    </row>
    <row r="40" spans="1:5" x14ac:dyDescent="0.8">
      <c r="A40" s="1" t="s">
        <v>68</v>
      </c>
      <c r="B40" s="2">
        <f>ROUND(D40/C40,0)</f>
        <v>350</v>
      </c>
      <c r="C40" s="3">
        <f>C7</f>
        <v>38</v>
      </c>
      <c r="D40" s="2">
        <f>H7</f>
        <v>13292</v>
      </c>
      <c r="E40" s="1"/>
    </row>
    <row r="41" spans="1:5" x14ac:dyDescent="0.8">
      <c r="A41" s="1" t="s">
        <v>6</v>
      </c>
      <c r="B41" s="2">
        <v>100</v>
      </c>
      <c r="C41" s="3">
        <f>C17+C22+C30-E41</f>
        <v>290</v>
      </c>
      <c r="D41" s="2">
        <f>B41*C41</f>
        <v>29000</v>
      </c>
      <c r="E41" s="21">
        <v>30</v>
      </c>
    </row>
    <row r="42" spans="1:5" x14ac:dyDescent="0.8">
      <c r="A42" s="1" t="s">
        <v>7</v>
      </c>
      <c r="B42" s="2">
        <f>ROUND(150/1.1,0)</f>
        <v>136</v>
      </c>
      <c r="C42" s="3">
        <f>C17-E42</f>
        <v>257</v>
      </c>
      <c r="D42" s="2">
        <f>B42*C42</f>
        <v>34952</v>
      </c>
      <c r="E42" s="23">
        <v>2</v>
      </c>
    </row>
    <row r="43" spans="1:5" x14ac:dyDescent="0.8">
      <c r="A43" s="14" t="s">
        <v>35</v>
      </c>
      <c r="B43" s="10"/>
      <c r="C43" s="11"/>
      <c r="D43" s="2">
        <f>ROUND((D7+D14)*0.0373,0)</f>
        <v>10595</v>
      </c>
      <c r="E43" s="22">
        <v>-3.73E-2</v>
      </c>
    </row>
    <row r="44" spans="1:5" x14ac:dyDescent="0.8">
      <c r="A44" s="14" t="s">
        <v>186</v>
      </c>
      <c r="B44" s="1">
        <v>500</v>
      </c>
      <c r="C44" s="1">
        <v>21</v>
      </c>
      <c r="D44" s="2">
        <f>B44*C44</f>
        <v>10500</v>
      </c>
      <c r="E44" s="22"/>
    </row>
    <row r="45" spans="1:5" x14ac:dyDescent="0.8">
      <c r="A45" s="1" t="s">
        <v>34</v>
      </c>
      <c r="B45" s="12"/>
      <c r="C45" s="12"/>
      <c r="D45" s="2">
        <f>SUM(D37:D43)</f>
        <v>527759</v>
      </c>
      <c r="E45" s="1"/>
    </row>
    <row r="46" spans="1:5" x14ac:dyDescent="0.8">
      <c r="D46" s="5"/>
    </row>
    <row r="47" spans="1:5" x14ac:dyDescent="0.8">
      <c r="A47" s="1" t="s">
        <v>2</v>
      </c>
      <c r="B47" s="1" t="s">
        <v>8</v>
      </c>
    </row>
    <row r="48" spans="1:5" x14ac:dyDescent="0.8">
      <c r="A48" s="1" t="s">
        <v>10</v>
      </c>
      <c r="B48" s="7">
        <f>D17</f>
        <v>840780</v>
      </c>
    </row>
    <row r="49" spans="1:2" x14ac:dyDescent="0.8">
      <c r="A49" s="1" t="s">
        <v>11</v>
      </c>
      <c r="B49" s="7">
        <f>D45</f>
        <v>527759</v>
      </c>
    </row>
    <row r="50" spans="1:2" x14ac:dyDescent="0.8">
      <c r="A50" s="1" t="s">
        <v>39</v>
      </c>
      <c r="B50" s="7">
        <f>D27</f>
        <v>167392</v>
      </c>
    </row>
    <row r="51" spans="1:2" x14ac:dyDescent="0.8">
      <c r="A51" s="1" t="s">
        <v>84</v>
      </c>
      <c r="B51" s="7">
        <f>D33</f>
        <v>0</v>
      </c>
    </row>
    <row r="52" spans="1:2" x14ac:dyDescent="0.8">
      <c r="A52" s="1" t="s">
        <v>0</v>
      </c>
      <c r="B52" s="7">
        <f>B48-B49+B50+B51</f>
        <v>480413</v>
      </c>
    </row>
    <row r="53" spans="1:2" x14ac:dyDescent="0.8">
      <c r="A53" s="24" t="s">
        <v>1</v>
      </c>
      <c r="B53" s="25">
        <f>ROUND(B52*0.6,0)</f>
        <v>288248</v>
      </c>
    </row>
    <row r="54" spans="1:2" x14ac:dyDescent="0.8">
      <c r="A54" s="1" t="s">
        <v>12</v>
      </c>
      <c r="B54" s="2">
        <f>B52*0.4</f>
        <v>192165.2</v>
      </c>
    </row>
    <row r="56" spans="1:2" x14ac:dyDescent="0.8">
      <c r="A56" s="4" t="s">
        <v>15</v>
      </c>
    </row>
  </sheetData>
  <phoneticPr fontId="1"/>
  <pageMargins left="0.25" right="0.25" top="0.75" bottom="0.75" header="0.3" footer="0.3"/>
  <pageSetup paperSize="9" scale="76" orientation="portrait" horizontalDpi="4294967293" verticalDpi="0" r:id="rId1"/>
  <headerFooter>
    <oddHeader>&amp;F</oddHeader>
  </headerFooter>
  <rowBreaks count="2" manualBreakCount="2">
    <brk id="18" max="4" man="1"/>
    <brk id="34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sheetPr filterMode="1"/>
  <dimension ref="A1:M73"/>
  <sheetViews>
    <sheetView topLeftCell="D1" workbookViewId="0">
      <pane xSplit="8640" ySplit="840" topLeftCell="G1" activePane="bottomRight"/>
      <selection activeCell="E1" sqref="E1"/>
      <selection pane="topRight" activeCell="K1" sqref="K1:M73"/>
      <selection pane="bottomLeft" activeCell="E72" sqref="E72"/>
      <selection pane="bottomRight" activeCell="K65" sqref="K2:L65"/>
    </sheetView>
  </sheetViews>
  <sheetFormatPr defaultColWidth="10.6640625" defaultRowHeight="19.899999999999999" x14ac:dyDescent="0.8"/>
  <cols>
    <col min="5" max="5" width="58" bestFit="1" customWidth="1"/>
    <col min="6" max="6" width="15.71875" bestFit="1" customWidth="1"/>
    <col min="7" max="7" width="23.5546875" bestFit="1" customWidth="1"/>
    <col min="8" max="8" width="15.44140625" bestFit="1" customWidth="1"/>
    <col min="11" max="11" width="8.5546875" bestFit="1" customWidth="1"/>
  </cols>
  <sheetData>
    <row r="1" spans="1:13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38</v>
      </c>
      <c r="I1" t="s">
        <v>51</v>
      </c>
      <c r="J1" t="s">
        <v>52</v>
      </c>
      <c r="K1" s="15" t="s">
        <v>59</v>
      </c>
      <c r="L1" t="s">
        <v>95</v>
      </c>
      <c r="M1" t="s">
        <v>96</v>
      </c>
    </row>
    <row r="2" spans="1:13" x14ac:dyDescent="0.8">
      <c r="A2" s="9">
        <v>45991</v>
      </c>
      <c r="B2" t="s">
        <v>41</v>
      </c>
      <c r="C2" t="s">
        <v>42</v>
      </c>
      <c r="D2" t="s">
        <v>102</v>
      </c>
      <c r="E2" t="s">
        <v>78</v>
      </c>
      <c r="F2">
        <v>4042</v>
      </c>
      <c r="G2">
        <v>0</v>
      </c>
      <c r="H2">
        <v>-1160</v>
      </c>
      <c r="I2">
        <v>360</v>
      </c>
      <c r="J2">
        <v>3242</v>
      </c>
      <c r="K2">
        <v>1</v>
      </c>
    </row>
    <row r="3" spans="1:13" x14ac:dyDescent="0.8">
      <c r="A3" s="9">
        <v>45991</v>
      </c>
      <c r="B3" t="s">
        <v>41</v>
      </c>
      <c r="C3" t="s">
        <v>42</v>
      </c>
      <c r="D3" t="s">
        <v>103</v>
      </c>
      <c r="E3" t="s">
        <v>78</v>
      </c>
      <c r="F3">
        <v>4042</v>
      </c>
      <c r="G3">
        <v>0</v>
      </c>
      <c r="H3">
        <v>-1160</v>
      </c>
      <c r="I3">
        <v>360</v>
      </c>
      <c r="J3">
        <v>3242</v>
      </c>
      <c r="K3">
        <v>1</v>
      </c>
    </row>
    <row r="4" spans="1:13" x14ac:dyDescent="0.8">
      <c r="A4" s="9">
        <v>45991</v>
      </c>
      <c r="B4" t="s">
        <v>41</v>
      </c>
      <c r="C4" t="s">
        <v>42</v>
      </c>
      <c r="D4" t="s">
        <v>104</v>
      </c>
      <c r="E4" t="s">
        <v>78</v>
      </c>
      <c r="F4">
        <v>4042</v>
      </c>
      <c r="G4">
        <v>0</v>
      </c>
      <c r="H4">
        <v>-434</v>
      </c>
      <c r="I4">
        <v>360</v>
      </c>
      <c r="J4">
        <v>3968</v>
      </c>
      <c r="K4">
        <v>1</v>
      </c>
    </row>
    <row r="5" spans="1:13" x14ac:dyDescent="0.8">
      <c r="A5" s="9">
        <v>45988</v>
      </c>
      <c r="B5" t="s">
        <v>41</v>
      </c>
      <c r="C5" t="s">
        <v>42</v>
      </c>
      <c r="D5" t="s">
        <v>105</v>
      </c>
      <c r="E5" t="s">
        <v>78</v>
      </c>
      <c r="F5">
        <v>5436</v>
      </c>
      <c r="G5">
        <v>-455</v>
      </c>
      <c r="H5">
        <v>-455</v>
      </c>
      <c r="I5">
        <v>395</v>
      </c>
      <c r="J5">
        <v>4921</v>
      </c>
      <c r="K5">
        <v>0</v>
      </c>
      <c r="L5">
        <v>1</v>
      </c>
    </row>
    <row r="6" spans="1:13" x14ac:dyDescent="0.8">
      <c r="A6" s="9">
        <v>45987</v>
      </c>
      <c r="B6" t="s">
        <v>41</v>
      </c>
      <c r="C6" t="s">
        <v>42</v>
      </c>
      <c r="D6" t="s">
        <v>106</v>
      </c>
      <c r="E6" t="s">
        <v>78</v>
      </c>
      <c r="F6">
        <v>5436</v>
      </c>
      <c r="G6">
        <v>0</v>
      </c>
      <c r="H6">
        <v>-455</v>
      </c>
      <c r="I6">
        <v>484</v>
      </c>
      <c r="J6">
        <v>5465</v>
      </c>
      <c r="K6">
        <v>0</v>
      </c>
      <c r="L6">
        <v>1</v>
      </c>
    </row>
    <row r="7" spans="1:13" x14ac:dyDescent="0.8">
      <c r="A7" s="9">
        <v>45987</v>
      </c>
      <c r="B7" t="s">
        <v>41</v>
      </c>
      <c r="C7" t="s">
        <v>42</v>
      </c>
      <c r="D7" t="s">
        <v>107</v>
      </c>
      <c r="E7" t="s">
        <v>78</v>
      </c>
      <c r="F7">
        <v>4527</v>
      </c>
      <c r="G7">
        <v>0</v>
      </c>
      <c r="H7">
        <v>-434</v>
      </c>
      <c r="I7">
        <v>403</v>
      </c>
      <c r="J7">
        <v>4496</v>
      </c>
      <c r="K7">
        <v>1</v>
      </c>
    </row>
    <row r="8" spans="1:13" hidden="1" x14ac:dyDescent="0.8">
      <c r="A8" s="9">
        <v>45986</v>
      </c>
      <c r="B8" t="s">
        <v>41</v>
      </c>
      <c r="C8" t="s">
        <v>53</v>
      </c>
      <c r="D8" t="s">
        <v>54</v>
      </c>
      <c r="E8" t="s">
        <v>55</v>
      </c>
      <c r="F8">
        <v>0</v>
      </c>
      <c r="G8">
        <v>0</v>
      </c>
      <c r="H8">
        <v>-55834</v>
      </c>
      <c r="I8">
        <v>0</v>
      </c>
      <c r="J8">
        <v>-55834</v>
      </c>
      <c r="K8">
        <v>0</v>
      </c>
    </row>
    <row r="9" spans="1:13" x14ac:dyDescent="0.8">
      <c r="A9" s="9">
        <v>45986</v>
      </c>
      <c r="B9" t="s">
        <v>41</v>
      </c>
      <c r="C9" t="s">
        <v>42</v>
      </c>
      <c r="D9" t="s">
        <v>108</v>
      </c>
      <c r="E9" t="s">
        <v>78</v>
      </c>
      <c r="F9">
        <v>4527</v>
      </c>
      <c r="G9">
        <v>0</v>
      </c>
      <c r="H9">
        <v>-434</v>
      </c>
      <c r="I9">
        <v>403</v>
      </c>
      <c r="J9">
        <v>4496</v>
      </c>
      <c r="K9">
        <v>1</v>
      </c>
    </row>
    <row r="10" spans="1:13" x14ac:dyDescent="0.8">
      <c r="A10" s="9">
        <v>45986</v>
      </c>
      <c r="B10" t="s">
        <v>41</v>
      </c>
      <c r="C10" t="s">
        <v>42</v>
      </c>
      <c r="D10" t="s">
        <v>109</v>
      </c>
      <c r="E10" t="s">
        <v>78</v>
      </c>
      <c r="F10">
        <v>5436</v>
      </c>
      <c r="G10">
        <v>0</v>
      </c>
      <c r="H10">
        <v>-455</v>
      </c>
      <c r="I10">
        <v>484</v>
      </c>
      <c r="J10">
        <v>5465</v>
      </c>
      <c r="K10">
        <v>0</v>
      </c>
      <c r="L10">
        <v>1</v>
      </c>
    </row>
    <row r="11" spans="1:13" x14ac:dyDescent="0.8">
      <c r="A11" s="9">
        <v>45986</v>
      </c>
      <c r="B11" t="s">
        <v>41</v>
      </c>
      <c r="C11" t="s">
        <v>42</v>
      </c>
      <c r="D11" t="s">
        <v>110</v>
      </c>
      <c r="E11" t="s">
        <v>78</v>
      </c>
      <c r="F11">
        <v>4041</v>
      </c>
      <c r="G11">
        <v>-4</v>
      </c>
      <c r="H11">
        <v>-434</v>
      </c>
      <c r="I11">
        <v>365</v>
      </c>
      <c r="J11">
        <v>3968</v>
      </c>
      <c r="K11">
        <v>1</v>
      </c>
    </row>
    <row r="12" spans="1:13" x14ac:dyDescent="0.8">
      <c r="A12" s="9">
        <v>45986</v>
      </c>
      <c r="B12" t="s">
        <v>41</v>
      </c>
      <c r="C12" t="s">
        <v>42</v>
      </c>
      <c r="D12" t="s">
        <v>111</v>
      </c>
      <c r="E12" t="s">
        <v>78</v>
      </c>
      <c r="F12">
        <v>5436</v>
      </c>
      <c r="G12">
        <v>-140</v>
      </c>
      <c r="H12">
        <v>-455</v>
      </c>
      <c r="I12">
        <v>624</v>
      </c>
      <c r="J12">
        <v>5465</v>
      </c>
      <c r="K12">
        <v>0</v>
      </c>
      <c r="L12">
        <v>1</v>
      </c>
    </row>
    <row r="13" spans="1:13" x14ac:dyDescent="0.8">
      <c r="A13" s="9">
        <v>45985</v>
      </c>
      <c r="B13" t="s">
        <v>41</v>
      </c>
      <c r="C13" t="s">
        <v>42</v>
      </c>
      <c r="D13" t="s">
        <v>112</v>
      </c>
      <c r="E13" t="s">
        <v>78</v>
      </c>
      <c r="F13">
        <v>4527</v>
      </c>
      <c r="G13">
        <v>-84</v>
      </c>
      <c r="H13">
        <v>-434</v>
      </c>
      <c r="I13">
        <v>487</v>
      </c>
      <c r="J13">
        <v>4496</v>
      </c>
      <c r="K13">
        <v>1</v>
      </c>
    </row>
    <row r="14" spans="1:13" x14ac:dyDescent="0.8">
      <c r="A14" s="9">
        <v>45985</v>
      </c>
      <c r="B14" t="s">
        <v>41</v>
      </c>
      <c r="C14" t="s">
        <v>42</v>
      </c>
      <c r="D14" t="s">
        <v>112</v>
      </c>
      <c r="E14" t="s">
        <v>78</v>
      </c>
      <c r="F14">
        <v>4527</v>
      </c>
      <c r="G14">
        <v>-84</v>
      </c>
      <c r="H14">
        <v>-434</v>
      </c>
      <c r="I14">
        <v>487</v>
      </c>
      <c r="J14">
        <v>4496</v>
      </c>
      <c r="K14">
        <v>1</v>
      </c>
    </row>
    <row r="15" spans="1:13" x14ac:dyDescent="0.8">
      <c r="A15" s="9">
        <v>45985</v>
      </c>
      <c r="B15" t="s">
        <v>41</v>
      </c>
      <c r="C15" t="s">
        <v>42</v>
      </c>
      <c r="D15" t="s">
        <v>113</v>
      </c>
      <c r="E15" t="s">
        <v>78</v>
      </c>
      <c r="F15">
        <v>9055</v>
      </c>
      <c r="G15">
        <v>0</v>
      </c>
      <c r="H15">
        <v>-868</v>
      </c>
      <c r="I15">
        <v>805</v>
      </c>
      <c r="J15">
        <v>8992</v>
      </c>
      <c r="K15">
        <v>2</v>
      </c>
    </row>
    <row r="16" spans="1:13" x14ac:dyDescent="0.8">
      <c r="A16" s="9">
        <v>45985</v>
      </c>
      <c r="B16" t="s">
        <v>41</v>
      </c>
      <c r="C16" t="s">
        <v>93</v>
      </c>
      <c r="D16" t="s">
        <v>114</v>
      </c>
      <c r="E16" t="s">
        <v>78</v>
      </c>
      <c r="F16">
        <v>-5436</v>
      </c>
      <c r="G16">
        <v>0</v>
      </c>
      <c r="H16">
        <v>0</v>
      </c>
      <c r="I16">
        <v>-484</v>
      </c>
      <c r="J16">
        <v>-5920</v>
      </c>
      <c r="K16">
        <v>0</v>
      </c>
      <c r="L16">
        <v>-1</v>
      </c>
    </row>
    <row r="17" spans="1:12" x14ac:dyDescent="0.8">
      <c r="A17" s="9">
        <v>45985</v>
      </c>
      <c r="B17" t="s">
        <v>41</v>
      </c>
      <c r="C17" t="s">
        <v>42</v>
      </c>
      <c r="D17" t="s">
        <v>115</v>
      </c>
      <c r="E17" t="s">
        <v>78</v>
      </c>
      <c r="F17">
        <v>4527</v>
      </c>
      <c r="G17">
        <v>0</v>
      </c>
      <c r="H17">
        <v>-434</v>
      </c>
      <c r="I17">
        <v>403</v>
      </c>
      <c r="J17">
        <v>4496</v>
      </c>
      <c r="K17">
        <v>1</v>
      </c>
    </row>
    <row r="18" spans="1:12" x14ac:dyDescent="0.8">
      <c r="A18" s="9">
        <v>45984</v>
      </c>
      <c r="B18" t="s">
        <v>41</v>
      </c>
      <c r="C18" t="s">
        <v>42</v>
      </c>
      <c r="D18" t="s">
        <v>116</v>
      </c>
      <c r="E18" t="s">
        <v>78</v>
      </c>
      <c r="F18">
        <v>4527</v>
      </c>
      <c r="G18">
        <v>0</v>
      </c>
      <c r="H18">
        <v>-434</v>
      </c>
      <c r="I18">
        <v>403</v>
      </c>
      <c r="J18">
        <v>4496</v>
      </c>
      <c r="K18">
        <v>1</v>
      </c>
    </row>
    <row r="19" spans="1:12" x14ac:dyDescent="0.8">
      <c r="A19" s="9">
        <v>45984</v>
      </c>
      <c r="B19" t="s">
        <v>41</v>
      </c>
      <c r="C19" t="s">
        <v>42</v>
      </c>
      <c r="D19" t="s">
        <v>114</v>
      </c>
      <c r="E19" t="s">
        <v>78</v>
      </c>
      <c r="F19">
        <v>5436</v>
      </c>
      <c r="G19">
        <v>0</v>
      </c>
      <c r="H19">
        <v>-455</v>
      </c>
      <c r="I19">
        <v>484</v>
      </c>
      <c r="J19">
        <v>5465</v>
      </c>
      <c r="K19">
        <v>0</v>
      </c>
      <c r="L19">
        <v>1</v>
      </c>
    </row>
    <row r="20" spans="1:12" x14ac:dyDescent="0.8">
      <c r="A20" s="9">
        <v>45984</v>
      </c>
      <c r="B20" t="s">
        <v>41</v>
      </c>
      <c r="C20" t="s">
        <v>42</v>
      </c>
      <c r="D20" t="s">
        <v>117</v>
      </c>
      <c r="E20" t="s">
        <v>78</v>
      </c>
      <c r="F20">
        <v>9055</v>
      </c>
      <c r="G20">
        <v>0</v>
      </c>
      <c r="H20">
        <v>-868</v>
      </c>
      <c r="I20">
        <v>805</v>
      </c>
      <c r="J20">
        <v>8992</v>
      </c>
      <c r="K20">
        <v>2</v>
      </c>
    </row>
    <row r="21" spans="1:12" x14ac:dyDescent="0.8">
      <c r="A21" s="9">
        <v>45984</v>
      </c>
      <c r="B21" t="s">
        <v>41</v>
      </c>
      <c r="C21" t="s">
        <v>42</v>
      </c>
      <c r="D21" t="s">
        <v>118</v>
      </c>
      <c r="E21" t="s">
        <v>78</v>
      </c>
      <c r="F21">
        <v>5436</v>
      </c>
      <c r="G21">
        <v>0</v>
      </c>
      <c r="H21">
        <v>-455</v>
      </c>
      <c r="I21">
        <v>484</v>
      </c>
      <c r="J21">
        <v>5465</v>
      </c>
      <c r="K21">
        <v>0</v>
      </c>
      <c r="L21">
        <v>1</v>
      </c>
    </row>
    <row r="22" spans="1:12" x14ac:dyDescent="0.8">
      <c r="A22" s="9">
        <v>45983</v>
      </c>
      <c r="B22" t="s">
        <v>41</v>
      </c>
      <c r="C22" t="s">
        <v>42</v>
      </c>
      <c r="D22" t="s">
        <v>119</v>
      </c>
      <c r="E22" t="s">
        <v>78</v>
      </c>
      <c r="F22">
        <v>4527</v>
      </c>
      <c r="G22">
        <v>0</v>
      </c>
      <c r="H22">
        <v>-434</v>
      </c>
      <c r="I22">
        <v>403</v>
      </c>
      <c r="J22">
        <v>4496</v>
      </c>
      <c r="K22">
        <v>1</v>
      </c>
    </row>
    <row r="23" spans="1:12" x14ac:dyDescent="0.8">
      <c r="A23" s="9">
        <v>45981</v>
      </c>
      <c r="B23" t="s">
        <v>41</v>
      </c>
      <c r="C23" t="s">
        <v>42</v>
      </c>
      <c r="D23" t="s">
        <v>120</v>
      </c>
      <c r="E23" t="s">
        <v>78</v>
      </c>
      <c r="F23">
        <v>5436</v>
      </c>
      <c r="G23">
        <v>0</v>
      </c>
      <c r="H23">
        <v>-455</v>
      </c>
      <c r="I23">
        <v>484</v>
      </c>
      <c r="J23">
        <v>5465</v>
      </c>
      <c r="K23">
        <v>0</v>
      </c>
      <c r="L23">
        <v>1</v>
      </c>
    </row>
    <row r="24" spans="1:12" x14ac:dyDescent="0.8">
      <c r="A24" s="9">
        <v>45981</v>
      </c>
      <c r="B24" t="s">
        <v>41</v>
      </c>
      <c r="C24" t="s">
        <v>42</v>
      </c>
      <c r="D24" t="s">
        <v>121</v>
      </c>
      <c r="E24" t="s">
        <v>78</v>
      </c>
      <c r="F24">
        <v>4527</v>
      </c>
      <c r="G24">
        <v>-60</v>
      </c>
      <c r="H24">
        <v>-434</v>
      </c>
      <c r="I24">
        <v>463</v>
      </c>
      <c r="J24">
        <v>4496</v>
      </c>
      <c r="K24">
        <v>1</v>
      </c>
    </row>
    <row r="25" spans="1:12" x14ac:dyDescent="0.8">
      <c r="A25" s="9">
        <v>45979</v>
      </c>
      <c r="B25" t="s">
        <v>41</v>
      </c>
      <c r="C25" t="s">
        <v>42</v>
      </c>
      <c r="D25" t="s">
        <v>122</v>
      </c>
      <c r="E25" t="s">
        <v>78</v>
      </c>
      <c r="F25">
        <v>4042</v>
      </c>
      <c r="G25">
        <v>0</v>
      </c>
      <c r="H25">
        <v>-434</v>
      </c>
      <c r="I25">
        <v>360</v>
      </c>
      <c r="J25">
        <v>3968</v>
      </c>
      <c r="K25">
        <v>1</v>
      </c>
    </row>
    <row r="26" spans="1:12" x14ac:dyDescent="0.8">
      <c r="A26" s="9">
        <v>45979</v>
      </c>
      <c r="B26" t="s">
        <v>41</v>
      </c>
      <c r="C26" t="s">
        <v>42</v>
      </c>
      <c r="D26" t="s">
        <v>123</v>
      </c>
      <c r="E26" t="s">
        <v>78</v>
      </c>
      <c r="F26">
        <v>4527</v>
      </c>
      <c r="G26">
        <v>0</v>
      </c>
      <c r="H26">
        <v>-434</v>
      </c>
      <c r="I26">
        <v>403</v>
      </c>
      <c r="J26">
        <v>4496</v>
      </c>
      <c r="K26">
        <v>1</v>
      </c>
    </row>
    <row r="27" spans="1:12" x14ac:dyDescent="0.8">
      <c r="A27" s="9">
        <v>45979</v>
      </c>
      <c r="B27" t="s">
        <v>41</v>
      </c>
      <c r="C27" t="s">
        <v>42</v>
      </c>
      <c r="D27" t="s">
        <v>124</v>
      </c>
      <c r="E27" t="s">
        <v>78</v>
      </c>
      <c r="F27">
        <v>4527</v>
      </c>
      <c r="G27">
        <v>0</v>
      </c>
      <c r="H27">
        <v>-434</v>
      </c>
      <c r="I27">
        <v>403</v>
      </c>
      <c r="J27">
        <v>4496</v>
      </c>
      <c r="K27">
        <v>1</v>
      </c>
    </row>
    <row r="28" spans="1:12" x14ac:dyDescent="0.8">
      <c r="A28" s="9">
        <v>45978</v>
      </c>
      <c r="B28" t="s">
        <v>41</v>
      </c>
      <c r="C28" t="s">
        <v>42</v>
      </c>
      <c r="D28" t="s">
        <v>125</v>
      </c>
      <c r="E28" t="s">
        <v>78</v>
      </c>
      <c r="F28">
        <v>4527</v>
      </c>
      <c r="G28">
        <v>0</v>
      </c>
      <c r="H28">
        <v>-434</v>
      </c>
      <c r="I28">
        <v>403</v>
      </c>
      <c r="J28">
        <v>4496</v>
      </c>
      <c r="K28">
        <v>1</v>
      </c>
    </row>
    <row r="29" spans="1:12" x14ac:dyDescent="0.8">
      <c r="A29" s="9">
        <v>45977</v>
      </c>
      <c r="B29" t="s">
        <v>41</v>
      </c>
      <c r="C29" t="s">
        <v>42</v>
      </c>
      <c r="D29" t="s">
        <v>126</v>
      </c>
      <c r="E29" t="s">
        <v>78</v>
      </c>
      <c r="F29">
        <v>10873</v>
      </c>
      <c r="G29">
        <v>0</v>
      </c>
      <c r="H29">
        <v>-910</v>
      </c>
      <c r="I29">
        <v>967</v>
      </c>
      <c r="J29">
        <v>10930</v>
      </c>
      <c r="K29">
        <v>0</v>
      </c>
      <c r="L29">
        <v>2</v>
      </c>
    </row>
    <row r="30" spans="1:12" x14ac:dyDescent="0.8">
      <c r="A30" s="9">
        <v>45977</v>
      </c>
      <c r="B30" t="s">
        <v>41</v>
      </c>
      <c r="C30" t="s">
        <v>93</v>
      </c>
      <c r="D30" t="s">
        <v>127</v>
      </c>
      <c r="E30" t="s">
        <v>78</v>
      </c>
      <c r="F30">
        <v>-9055</v>
      </c>
      <c r="G30">
        <v>0</v>
      </c>
      <c r="H30">
        <v>0</v>
      </c>
      <c r="I30">
        <v>-810</v>
      </c>
      <c r="J30">
        <v>-9865</v>
      </c>
      <c r="K30">
        <v>-2</v>
      </c>
    </row>
    <row r="31" spans="1:12" x14ac:dyDescent="0.8">
      <c r="A31" s="9">
        <v>45977</v>
      </c>
      <c r="B31" t="s">
        <v>41</v>
      </c>
      <c r="C31" t="s">
        <v>42</v>
      </c>
      <c r="D31" t="s">
        <v>128</v>
      </c>
      <c r="E31" t="s">
        <v>78</v>
      </c>
      <c r="F31">
        <v>5436</v>
      </c>
      <c r="G31">
        <v>0</v>
      </c>
      <c r="H31">
        <v>-612</v>
      </c>
      <c r="I31">
        <v>641</v>
      </c>
      <c r="J31">
        <v>5465</v>
      </c>
      <c r="K31">
        <v>0</v>
      </c>
      <c r="L31">
        <v>1</v>
      </c>
    </row>
    <row r="32" spans="1:12" x14ac:dyDescent="0.8">
      <c r="A32" s="9">
        <v>45977</v>
      </c>
      <c r="B32" t="s">
        <v>41</v>
      </c>
      <c r="C32" t="s">
        <v>42</v>
      </c>
      <c r="D32" t="s">
        <v>129</v>
      </c>
      <c r="E32" t="s">
        <v>78</v>
      </c>
      <c r="F32">
        <v>5436</v>
      </c>
      <c r="G32">
        <v>0</v>
      </c>
      <c r="H32">
        <v>-455</v>
      </c>
      <c r="I32">
        <v>484</v>
      </c>
      <c r="J32">
        <v>5465</v>
      </c>
      <c r="K32">
        <v>0</v>
      </c>
      <c r="L32">
        <v>1</v>
      </c>
    </row>
    <row r="33" spans="1:11" x14ac:dyDescent="0.8">
      <c r="A33" s="9">
        <v>45977</v>
      </c>
      <c r="B33" t="s">
        <v>41</v>
      </c>
      <c r="C33" t="s">
        <v>42</v>
      </c>
      <c r="D33" t="s">
        <v>130</v>
      </c>
      <c r="E33" t="s">
        <v>78</v>
      </c>
      <c r="F33">
        <v>4527</v>
      </c>
      <c r="G33">
        <v>0</v>
      </c>
      <c r="H33">
        <v>-788</v>
      </c>
      <c r="I33">
        <v>757</v>
      </c>
      <c r="J33">
        <v>4496</v>
      </c>
      <c r="K33">
        <v>1</v>
      </c>
    </row>
    <row r="34" spans="1:11" x14ac:dyDescent="0.8">
      <c r="A34" s="9">
        <v>45976</v>
      </c>
      <c r="B34" t="s">
        <v>41</v>
      </c>
      <c r="C34" t="s">
        <v>42</v>
      </c>
      <c r="D34" t="s">
        <v>131</v>
      </c>
      <c r="E34" t="s">
        <v>78</v>
      </c>
      <c r="F34">
        <v>4527</v>
      </c>
      <c r="G34">
        <v>0</v>
      </c>
      <c r="H34">
        <v>-434</v>
      </c>
      <c r="I34">
        <v>403</v>
      </c>
      <c r="J34">
        <v>4496</v>
      </c>
      <c r="K34">
        <v>1</v>
      </c>
    </row>
    <row r="35" spans="1:11" x14ac:dyDescent="0.8">
      <c r="A35" s="9">
        <v>45976</v>
      </c>
      <c r="B35" t="s">
        <v>41</v>
      </c>
      <c r="C35" t="s">
        <v>42</v>
      </c>
      <c r="D35" t="s">
        <v>132</v>
      </c>
      <c r="E35" t="s">
        <v>78</v>
      </c>
      <c r="F35">
        <v>4527</v>
      </c>
      <c r="G35">
        <v>-182</v>
      </c>
      <c r="H35">
        <v>-434</v>
      </c>
      <c r="I35">
        <v>585</v>
      </c>
      <c r="J35">
        <v>4496</v>
      </c>
      <c r="K35">
        <v>1</v>
      </c>
    </row>
    <row r="36" spans="1:11" x14ac:dyDescent="0.8">
      <c r="A36" s="9">
        <v>45976</v>
      </c>
      <c r="B36" t="s">
        <v>41</v>
      </c>
      <c r="C36" t="s">
        <v>42</v>
      </c>
      <c r="D36" t="s">
        <v>133</v>
      </c>
      <c r="E36" t="s">
        <v>78</v>
      </c>
      <c r="F36">
        <v>4042</v>
      </c>
      <c r="G36">
        <v>0</v>
      </c>
      <c r="H36">
        <v>-434</v>
      </c>
      <c r="I36">
        <v>360</v>
      </c>
      <c r="J36">
        <v>3968</v>
      </c>
      <c r="K36">
        <v>1</v>
      </c>
    </row>
    <row r="37" spans="1:11" x14ac:dyDescent="0.8">
      <c r="A37" s="9">
        <v>45976</v>
      </c>
      <c r="B37" t="s">
        <v>41</v>
      </c>
      <c r="C37" t="s">
        <v>93</v>
      </c>
      <c r="D37" t="s">
        <v>132</v>
      </c>
      <c r="E37" t="s">
        <v>78</v>
      </c>
      <c r="F37">
        <v>-4527</v>
      </c>
      <c r="G37">
        <v>182</v>
      </c>
      <c r="H37">
        <v>0</v>
      </c>
      <c r="I37">
        <v>-585</v>
      </c>
      <c r="J37">
        <v>-4930</v>
      </c>
      <c r="K37">
        <v>-1</v>
      </c>
    </row>
    <row r="38" spans="1:11" x14ac:dyDescent="0.8">
      <c r="A38" s="9">
        <v>45976</v>
      </c>
      <c r="B38" t="s">
        <v>41</v>
      </c>
      <c r="C38" t="s">
        <v>42</v>
      </c>
      <c r="D38" t="s">
        <v>127</v>
      </c>
      <c r="E38" t="s">
        <v>78</v>
      </c>
      <c r="F38">
        <v>9055</v>
      </c>
      <c r="G38">
        <v>0</v>
      </c>
      <c r="H38">
        <v>-868</v>
      </c>
      <c r="I38">
        <v>805</v>
      </c>
      <c r="J38">
        <v>8992</v>
      </c>
      <c r="K38">
        <v>2</v>
      </c>
    </row>
    <row r="39" spans="1:11" x14ac:dyDescent="0.8">
      <c r="A39" s="9">
        <v>45975</v>
      </c>
      <c r="B39" t="s">
        <v>41</v>
      </c>
      <c r="C39" t="s">
        <v>42</v>
      </c>
      <c r="D39" t="s">
        <v>134</v>
      </c>
      <c r="E39" t="s">
        <v>78</v>
      </c>
      <c r="F39">
        <v>4527</v>
      </c>
      <c r="G39">
        <v>0</v>
      </c>
      <c r="H39">
        <v>-434</v>
      </c>
      <c r="I39">
        <v>403</v>
      </c>
      <c r="J39">
        <v>4496</v>
      </c>
      <c r="K39">
        <v>1</v>
      </c>
    </row>
    <row r="40" spans="1:11" x14ac:dyDescent="0.8">
      <c r="A40" s="9">
        <v>45975</v>
      </c>
      <c r="B40" t="s">
        <v>41</v>
      </c>
      <c r="C40" t="s">
        <v>42</v>
      </c>
      <c r="D40" t="s">
        <v>135</v>
      </c>
      <c r="E40" t="s">
        <v>78</v>
      </c>
      <c r="F40">
        <v>4527</v>
      </c>
      <c r="G40">
        <v>0</v>
      </c>
      <c r="H40">
        <v>-434</v>
      </c>
      <c r="I40">
        <v>403</v>
      </c>
      <c r="J40">
        <v>4496</v>
      </c>
      <c r="K40">
        <v>1</v>
      </c>
    </row>
    <row r="41" spans="1:11" x14ac:dyDescent="0.8">
      <c r="A41" s="9">
        <v>45974</v>
      </c>
      <c r="B41" t="s">
        <v>41</v>
      </c>
      <c r="C41" t="s">
        <v>42</v>
      </c>
      <c r="D41" t="s">
        <v>136</v>
      </c>
      <c r="E41" t="s">
        <v>78</v>
      </c>
      <c r="F41">
        <v>4042</v>
      </c>
      <c r="G41">
        <v>-581</v>
      </c>
      <c r="H41">
        <v>-434</v>
      </c>
      <c r="I41">
        <v>537</v>
      </c>
      <c r="J41">
        <v>3564</v>
      </c>
      <c r="K41">
        <v>1</v>
      </c>
    </row>
    <row r="42" spans="1:11" x14ac:dyDescent="0.8">
      <c r="A42" s="9">
        <v>45974</v>
      </c>
      <c r="B42" t="s">
        <v>41</v>
      </c>
      <c r="C42" t="s">
        <v>42</v>
      </c>
      <c r="D42" t="s">
        <v>137</v>
      </c>
      <c r="E42" t="s">
        <v>78</v>
      </c>
      <c r="F42">
        <v>4042</v>
      </c>
      <c r="G42">
        <v>0</v>
      </c>
      <c r="H42">
        <v>-434</v>
      </c>
      <c r="I42">
        <v>360</v>
      </c>
      <c r="J42">
        <v>3968</v>
      </c>
      <c r="K42">
        <v>1</v>
      </c>
    </row>
    <row r="43" spans="1:11" x14ac:dyDescent="0.8">
      <c r="A43" s="9">
        <v>45973</v>
      </c>
      <c r="B43" t="s">
        <v>41</v>
      </c>
      <c r="C43" t="s">
        <v>42</v>
      </c>
      <c r="D43" t="s">
        <v>138</v>
      </c>
      <c r="E43" t="s">
        <v>78</v>
      </c>
      <c r="F43">
        <v>4042</v>
      </c>
      <c r="G43">
        <v>0</v>
      </c>
      <c r="H43">
        <v>-434</v>
      </c>
      <c r="I43">
        <v>360</v>
      </c>
      <c r="J43">
        <v>3968</v>
      </c>
      <c r="K43">
        <v>1</v>
      </c>
    </row>
    <row r="44" spans="1:11" x14ac:dyDescent="0.8">
      <c r="A44" s="9">
        <v>45973</v>
      </c>
      <c r="B44" t="s">
        <v>41</v>
      </c>
      <c r="C44" t="s">
        <v>42</v>
      </c>
      <c r="D44" t="s">
        <v>139</v>
      </c>
      <c r="E44" t="s">
        <v>78</v>
      </c>
      <c r="F44">
        <v>4042</v>
      </c>
      <c r="G44">
        <v>0</v>
      </c>
      <c r="H44">
        <v>-434</v>
      </c>
      <c r="I44">
        <v>360</v>
      </c>
      <c r="J44">
        <v>3968</v>
      </c>
      <c r="K44">
        <v>1</v>
      </c>
    </row>
    <row r="45" spans="1:11" x14ac:dyDescent="0.8">
      <c r="A45" s="9">
        <v>45973</v>
      </c>
      <c r="B45" t="s">
        <v>41</v>
      </c>
      <c r="C45" t="s">
        <v>42</v>
      </c>
      <c r="D45" t="s">
        <v>140</v>
      </c>
      <c r="E45" t="s">
        <v>78</v>
      </c>
      <c r="F45">
        <v>4042</v>
      </c>
      <c r="G45">
        <v>0</v>
      </c>
      <c r="H45">
        <v>-434</v>
      </c>
      <c r="I45">
        <v>360</v>
      </c>
      <c r="J45">
        <v>3968</v>
      </c>
      <c r="K45">
        <v>1</v>
      </c>
    </row>
    <row r="46" spans="1:11" x14ac:dyDescent="0.8">
      <c r="A46" s="9">
        <v>45972</v>
      </c>
      <c r="B46" t="s">
        <v>41</v>
      </c>
      <c r="C46" t="s">
        <v>42</v>
      </c>
      <c r="D46" t="s">
        <v>141</v>
      </c>
      <c r="E46" t="s">
        <v>78</v>
      </c>
      <c r="F46">
        <v>4042</v>
      </c>
      <c r="G46">
        <v>0</v>
      </c>
      <c r="H46">
        <v>-434</v>
      </c>
      <c r="I46">
        <v>360</v>
      </c>
      <c r="J46">
        <v>3968</v>
      </c>
      <c r="K46">
        <v>1</v>
      </c>
    </row>
    <row r="47" spans="1:11" x14ac:dyDescent="0.8">
      <c r="A47" s="9">
        <v>45971</v>
      </c>
      <c r="B47" t="s">
        <v>41</v>
      </c>
      <c r="C47" t="s">
        <v>42</v>
      </c>
      <c r="D47" t="s">
        <v>142</v>
      </c>
      <c r="E47" t="s">
        <v>78</v>
      </c>
      <c r="F47">
        <v>8084</v>
      </c>
      <c r="G47">
        <v>0</v>
      </c>
      <c r="H47">
        <v>-868</v>
      </c>
      <c r="I47">
        <v>720</v>
      </c>
      <c r="J47">
        <v>7936</v>
      </c>
      <c r="K47">
        <v>2</v>
      </c>
    </row>
    <row r="48" spans="1:11" hidden="1" x14ac:dyDescent="0.8">
      <c r="A48" s="9">
        <v>45970</v>
      </c>
      <c r="B48" t="s">
        <v>41</v>
      </c>
      <c r="C48" t="s">
        <v>53</v>
      </c>
      <c r="D48" t="s">
        <v>54</v>
      </c>
      <c r="E48" t="s">
        <v>56</v>
      </c>
      <c r="F48">
        <v>0</v>
      </c>
      <c r="G48">
        <v>0</v>
      </c>
      <c r="H48">
        <v>-5390</v>
      </c>
      <c r="I48">
        <v>0</v>
      </c>
      <c r="J48">
        <v>-5390</v>
      </c>
      <c r="K48">
        <v>0</v>
      </c>
    </row>
    <row r="49" spans="1:12" x14ac:dyDescent="0.8">
      <c r="A49" s="9">
        <v>45970</v>
      </c>
      <c r="B49" t="s">
        <v>41</v>
      </c>
      <c r="C49" t="s">
        <v>42</v>
      </c>
      <c r="D49" t="s">
        <v>143</v>
      </c>
      <c r="E49" t="s">
        <v>78</v>
      </c>
      <c r="F49">
        <v>4042</v>
      </c>
      <c r="G49">
        <v>0</v>
      </c>
      <c r="H49">
        <v>-434</v>
      </c>
      <c r="I49">
        <v>360</v>
      </c>
      <c r="J49">
        <v>3968</v>
      </c>
      <c r="K49">
        <v>1</v>
      </c>
    </row>
    <row r="50" spans="1:12" x14ac:dyDescent="0.8">
      <c r="A50" s="9">
        <v>45970</v>
      </c>
      <c r="B50" t="s">
        <v>41</v>
      </c>
      <c r="C50" t="s">
        <v>42</v>
      </c>
      <c r="D50" t="s">
        <v>144</v>
      </c>
      <c r="E50" t="s">
        <v>78</v>
      </c>
      <c r="F50">
        <v>4042</v>
      </c>
      <c r="G50">
        <v>0</v>
      </c>
      <c r="H50">
        <v>-434</v>
      </c>
      <c r="I50">
        <v>360</v>
      </c>
      <c r="J50">
        <v>3968</v>
      </c>
      <c r="K50">
        <v>1</v>
      </c>
    </row>
    <row r="51" spans="1:12" x14ac:dyDescent="0.8">
      <c r="A51" s="9">
        <v>45970</v>
      </c>
      <c r="B51" t="s">
        <v>41</v>
      </c>
      <c r="C51" t="s">
        <v>42</v>
      </c>
      <c r="D51" t="s">
        <v>145</v>
      </c>
      <c r="E51" t="s">
        <v>78</v>
      </c>
      <c r="F51">
        <v>4041</v>
      </c>
      <c r="G51">
        <v>-455</v>
      </c>
      <c r="H51">
        <v>-1160</v>
      </c>
      <c r="I51">
        <v>816</v>
      </c>
      <c r="J51">
        <v>3242</v>
      </c>
      <c r="K51">
        <v>1</v>
      </c>
    </row>
    <row r="52" spans="1:12" x14ac:dyDescent="0.8">
      <c r="A52" s="9">
        <v>45969</v>
      </c>
      <c r="B52" t="s">
        <v>41</v>
      </c>
      <c r="C52" t="s">
        <v>42</v>
      </c>
      <c r="D52" t="s">
        <v>87</v>
      </c>
      <c r="E52" t="s">
        <v>78</v>
      </c>
      <c r="F52">
        <v>4042</v>
      </c>
      <c r="G52">
        <v>0</v>
      </c>
      <c r="H52">
        <v>-1160</v>
      </c>
      <c r="I52">
        <v>360</v>
      </c>
      <c r="J52">
        <v>3242</v>
      </c>
      <c r="K52">
        <v>1</v>
      </c>
    </row>
    <row r="53" spans="1:12" x14ac:dyDescent="0.8">
      <c r="A53" s="9">
        <v>45969</v>
      </c>
      <c r="B53" t="s">
        <v>41</v>
      </c>
      <c r="C53" t="s">
        <v>42</v>
      </c>
      <c r="D53" t="s">
        <v>86</v>
      </c>
      <c r="E53" t="s">
        <v>78</v>
      </c>
      <c r="F53">
        <v>4042</v>
      </c>
      <c r="G53">
        <v>0</v>
      </c>
      <c r="H53">
        <v>-1160</v>
      </c>
      <c r="I53">
        <v>360</v>
      </c>
      <c r="J53">
        <v>3242</v>
      </c>
      <c r="K53">
        <v>1</v>
      </c>
    </row>
    <row r="54" spans="1:12" hidden="1" x14ac:dyDescent="0.8">
      <c r="A54" s="9">
        <v>45968</v>
      </c>
      <c r="B54" t="s">
        <v>41</v>
      </c>
      <c r="C54" t="s">
        <v>53</v>
      </c>
      <c r="D54" t="s">
        <v>54</v>
      </c>
      <c r="E54" t="s">
        <v>60</v>
      </c>
      <c r="F54">
        <v>0</v>
      </c>
      <c r="G54">
        <v>0</v>
      </c>
      <c r="H54">
        <v>0</v>
      </c>
      <c r="I54">
        <v>-1964</v>
      </c>
      <c r="J54">
        <v>-1964</v>
      </c>
      <c r="K54">
        <v>0</v>
      </c>
    </row>
    <row r="55" spans="1:12" x14ac:dyDescent="0.8">
      <c r="A55" s="9">
        <v>45968</v>
      </c>
      <c r="B55" t="s">
        <v>41</v>
      </c>
      <c r="C55" t="s">
        <v>42</v>
      </c>
      <c r="D55" t="s">
        <v>88</v>
      </c>
      <c r="E55" t="s">
        <v>78</v>
      </c>
      <c r="F55">
        <v>12125</v>
      </c>
      <c r="G55">
        <v>0</v>
      </c>
      <c r="H55">
        <v>-3480</v>
      </c>
      <c r="I55">
        <v>1081</v>
      </c>
      <c r="J55">
        <v>9726</v>
      </c>
      <c r="K55">
        <v>3</v>
      </c>
    </row>
    <row r="56" spans="1:12" hidden="1" x14ac:dyDescent="0.8">
      <c r="A56" s="9">
        <v>45967</v>
      </c>
      <c r="B56" t="s">
        <v>41</v>
      </c>
      <c r="C56" t="s">
        <v>146</v>
      </c>
      <c r="D56" t="s">
        <v>94</v>
      </c>
      <c r="E56" t="s">
        <v>147</v>
      </c>
      <c r="F56">
        <v>0</v>
      </c>
      <c r="G56">
        <v>0</v>
      </c>
      <c r="H56">
        <v>0</v>
      </c>
      <c r="I56">
        <v>4093</v>
      </c>
      <c r="J56">
        <v>4093</v>
      </c>
      <c r="K56">
        <v>0</v>
      </c>
    </row>
    <row r="57" spans="1:12" x14ac:dyDescent="0.8">
      <c r="A57" s="9">
        <v>45967</v>
      </c>
      <c r="B57" t="s">
        <v>41</v>
      </c>
      <c r="C57" t="s">
        <v>42</v>
      </c>
      <c r="D57" t="s">
        <v>89</v>
      </c>
      <c r="E57" t="s">
        <v>78</v>
      </c>
      <c r="F57">
        <v>4893</v>
      </c>
      <c r="G57">
        <v>0</v>
      </c>
      <c r="H57">
        <v>-1334</v>
      </c>
      <c r="I57">
        <v>435</v>
      </c>
      <c r="J57">
        <v>3994</v>
      </c>
      <c r="K57">
        <v>0</v>
      </c>
      <c r="L57">
        <v>1</v>
      </c>
    </row>
    <row r="58" spans="1:12" x14ac:dyDescent="0.8">
      <c r="A58" s="9">
        <v>45967</v>
      </c>
      <c r="B58" t="s">
        <v>41</v>
      </c>
      <c r="C58" t="s">
        <v>42</v>
      </c>
      <c r="D58" t="s">
        <v>91</v>
      </c>
      <c r="E58" t="s">
        <v>78</v>
      </c>
      <c r="F58">
        <v>4527</v>
      </c>
      <c r="G58">
        <v>0</v>
      </c>
      <c r="H58">
        <v>-1248</v>
      </c>
      <c r="I58">
        <v>403</v>
      </c>
      <c r="J58">
        <v>3682</v>
      </c>
      <c r="K58">
        <v>1</v>
      </c>
    </row>
    <row r="59" spans="1:12" x14ac:dyDescent="0.8">
      <c r="A59" s="9">
        <v>45966</v>
      </c>
      <c r="B59" t="s">
        <v>41</v>
      </c>
      <c r="C59" t="s">
        <v>42</v>
      </c>
      <c r="D59" t="s">
        <v>90</v>
      </c>
      <c r="E59" t="s">
        <v>78</v>
      </c>
      <c r="F59">
        <v>4042</v>
      </c>
      <c r="G59">
        <v>0</v>
      </c>
      <c r="H59">
        <v>-1160</v>
      </c>
      <c r="I59">
        <v>360</v>
      </c>
      <c r="J59">
        <v>3242</v>
      </c>
      <c r="K59">
        <v>1</v>
      </c>
    </row>
    <row r="60" spans="1:12" x14ac:dyDescent="0.8">
      <c r="A60" s="9">
        <v>45965</v>
      </c>
      <c r="B60" t="s">
        <v>41</v>
      </c>
      <c r="C60" t="s">
        <v>42</v>
      </c>
      <c r="D60" t="s">
        <v>92</v>
      </c>
      <c r="E60" t="s">
        <v>78</v>
      </c>
      <c r="F60">
        <v>4042</v>
      </c>
      <c r="G60">
        <v>0</v>
      </c>
      <c r="H60">
        <v>-1160</v>
      </c>
      <c r="I60">
        <v>360</v>
      </c>
      <c r="J60">
        <v>3242</v>
      </c>
      <c r="K60">
        <v>1</v>
      </c>
    </row>
    <row r="61" spans="1:12" x14ac:dyDescent="0.8">
      <c r="A61" s="9">
        <v>45964</v>
      </c>
      <c r="B61" t="s">
        <v>41</v>
      </c>
      <c r="C61" t="s">
        <v>42</v>
      </c>
      <c r="D61" t="s">
        <v>148</v>
      </c>
      <c r="E61" t="s">
        <v>78</v>
      </c>
      <c r="F61">
        <v>4527</v>
      </c>
      <c r="G61">
        <v>0</v>
      </c>
      <c r="H61">
        <v>-1248</v>
      </c>
      <c r="I61">
        <v>403</v>
      </c>
      <c r="J61">
        <v>3682</v>
      </c>
      <c r="K61">
        <v>1</v>
      </c>
    </row>
    <row r="62" spans="1:12" x14ac:dyDescent="0.8">
      <c r="A62" s="9">
        <v>45964</v>
      </c>
      <c r="B62" t="s">
        <v>41</v>
      </c>
      <c r="C62" t="s">
        <v>42</v>
      </c>
      <c r="D62" t="s">
        <v>149</v>
      </c>
      <c r="E62" t="s">
        <v>78</v>
      </c>
      <c r="F62">
        <v>4527</v>
      </c>
      <c r="G62">
        <v>0</v>
      </c>
      <c r="H62">
        <v>-1248</v>
      </c>
      <c r="I62">
        <v>403</v>
      </c>
      <c r="J62">
        <v>3682</v>
      </c>
      <c r="K62">
        <v>1</v>
      </c>
    </row>
    <row r="63" spans="1:12" x14ac:dyDescent="0.8">
      <c r="A63" s="9">
        <v>45963</v>
      </c>
      <c r="B63" t="s">
        <v>41</v>
      </c>
      <c r="C63" t="s">
        <v>42</v>
      </c>
      <c r="D63" t="s">
        <v>150</v>
      </c>
      <c r="E63" t="s">
        <v>78</v>
      </c>
      <c r="F63">
        <v>10873</v>
      </c>
      <c r="G63">
        <v>0</v>
      </c>
      <c r="H63">
        <v>-2864</v>
      </c>
      <c r="I63">
        <v>967</v>
      </c>
      <c r="J63">
        <v>8976</v>
      </c>
      <c r="K63">
        <v>0</v>
      </c>
      <c r="L63">
        <v>2</v>
      </c>
    </row>
    <row r="64" spans="1:12" hidden="1" x14ac:dyDescent="0.8">
      <c r="A64" s="9">
        <v>45963</v>
      </c>
      <c r="B64" t="s">
        <v>41</v>
      </c>
      <c r="C64" t="s">
        <v>53</v>
      </c>
      <c r="D64" t="s">
        <v>54</v>
      </c>
      <c r="E64" t="s">
        <v>55</v>
      </c>
      <c r="F64">
        <v>0</v>
      </c>
      <c r="G64">
        <v>0</v>
      </c>
      <c r="H64">
        <v>-8171</v>
      </c>
      <c r="I64">
        <v>0</v>
      </c>
      <c r="J64">
        <v>-8171</v>
      </c>
      <c r="K64">
        <v>0</v>
      </c>
    </row>
    <row r="65" spans="1:13" x14ac:dyDescent="0.8">
      <c r="A65" s="9">
        <v>45962</v>
      </c>
      <c r="B65" t="s">
        <v>41</v>
      </c>
      <c r="C65" t="s">
        <v>42</v>
      </c>
      <c r="D65" t="s">
        <v>85</v>
      </c>
      <c r="E65" t="s">
        <v>78</v>
      </c>
      <c r="F65">
        <v>10873</v>
      </c>
      <c r="G65">
        <v>0</v>
      </c>
      <c r="H65">
        <v>-2864</v>
      </c>
      <c r="I65">
        <v>967</v>
      </c>
      <c r="J65">
        <v>8976</v>
      </c>
      <c r="K65">
        <v>0</v>
      </c>
      <c r="L65">
        <v>2</v>
      </c>
    </row>
    <row r="66" spans="1:13" ht="79.5" hidden="1" x14ac:dyDescent="0.8">
      <c r="F66" s="17" t="s">
        <v>76</v>
      </c>
      <c r="G66" s="17" t="s">
        <v>73</v>
      </c>
      <c r="H66" s="17" t="s">
        <v>74</v>
      </c>
      <c r="I66" s="17" t="s">
        <v>75</v>
      </c>
    </row>
    <row r="67" spans="1:13" hidden="1" x14ac:dyDescent="0.8">
      <c r="F67">
        <f>ROUND(SUM(F2:F65)/1.1,0)</f>
        <v>252365</v>
      </c>
      <c r="G67">
        <f>ROUND(SUM(G2:G65)/1.1,0)</f>
        <v>-1694</v>
      </c>
      <c r="H67">
        <f>ROUND(SUM(H2:H65)/1.1,0)</f>
        <v>-102674</v>
      </c>
      <c r="I67">
        <f>ROUND(SUM(I2:I65)/1.1,0)</f>
        <v>25695</v>
      </c>
      <c r="J67">
        <f>ROUND(SUM(J2:J65)/1.1,0)</f>
        <v>173693</v>
      </c>
      <c r="K67">
        <f>SUM(K2:K66)</f>
        <v>46</v>
      </c>
      <c r="L67">
        <f t="shared" ref="L67:M67" si="0">SUM(L2:L66)</f>
        <v>15</v>
      </c>
      <c r="M67">
        <f t="shared" si="0"/>
        <v>0</v>
      </c>
    </row>
    <row r="68" spans="1:13" hidden="1" x14ac:dyDescent="0.8">
      <c r="F68" t="s">
        <v>62</v>
      </c>
      <c r="G68" t="s">
        <v>62</v>
      </c>
      <c r="H68" t="s">
        <v>62</v>
      </c>
      <c r="I68" t="s">
        <v>62</v>
      </c>
      <c r="J68" t="s">
        <v>62</v>
      </c>
    </row>
    <row r="69" spans="1:13" hidden="1" x14ac:dyDescent="0.8">
      <c r="G69" t="s">
        <v>70</v>
      </c>
      <c r="H69">
        <v>-5390</v>
      </c>
    </row>
    <row r="70" spans="1:13" hidden="1" x14ac:dyDescent="0.8">
      <c r="G70" t="s">
        <v>97</v>
      </c>
      <c r="H70">
        <v>-1863</v>
      </c>
    </row>
    <row r="71" spans="1:13" hidden="1" x14ac:dyDescent="0.8">
      <c r="G71" t="s">
        <v>71</v>
      </c>
      <c r="H71">
        <v>-64005</v>
      </c>
    </row>
    <row r="72" spans="1:13" ht="79.5" hidden="1" x14ac:dyDescent="0.8">
      <c r="G72" s="17" t="s">
        <v>98</v>
      </c>
      <c r="H72">
        <f>ROUND(SUM(H69:H71)/1.1,0)</f>
        <v>-64780</v>
      </c>
    </row>
    <row r="73" spans="1:13" hidden="1" x14ac:dyDescent="0.8">
      <c r="G73" t="s">
        <v>72</v>
      </c>
      <c r="H73">
        <f>H67-H72</f>
        <v>-37894</v>
      </c>
    </row>
  </sheetData>
  <autoFilter ref="A1:M73" xr:uid="{B4D9AF07-50AC-7F44-B074-C4820E76FF34}">
    <filterColumn colId="4">
      <filters>
        <filter val="SHUWAN 酒器 おちょこ ぐい呑み 日本酒グラス 270ml 磁器 日本製 ..."/>
      </filters>
    </filterColumn>
  </autoFilter>
  <sortState xmlns:xlrd2="http://schemas.microsoft.com/office/spreadsheetml/2017/richdata2" ref="A59:K62">
    <sortCondition ref="D59:D62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339-C97C-CC4F-9282-8DF7AA38CD35}">
  <dimension ref="A1:K26"/>
  <sheetViews>
    <sheetView topLeftCell="E1" workbookViewId="0">
      <selection activeCell="E28" sqref="E28"/>
    </sheetView>
  </sheetViews>
  <sheetFormatPr defaultColWidth="10.6640625" defaultRowHeight="19.899999999999999" x14ac:dyDescent="0.8"/>
  <cols>
    <col min="5" max="5" width="59.44140625" bestFit="1" customWidth="1"/>
  </cols>
  <sheetData>
    <row r="1" spans="1:11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s="18" t="s">
        <v>176</v>
      </c>
    </row>
    <row r="2" spans="1:11" x14ac:dyDescent="0.8">
      <c r="A2" s="9">
        <v>45991</v>
      </c>
      <c r="B2" t="s">
        <v>61</v>
      </c>
      <c r="C2" t="s">
        <v>42</v>
      </c>
      <c r="D2" t="s">
        <v>151</v>
      </c>
      <c r="E2" t="s">
        <v>78</v>
      </c>
      <c r="F2">
        <v>4042</v>
      </c>
      <c r="G2">
        <v>0</v>
      </c>
      <c r="H2">
        <v>-1160</v>
      </c>
      <c r="I2">
        <v>360</v>
      </c>
      <c r="J2">
        <v>3242</v>
      </c>
      <c r="K2" s="19" t="e">
        <f>VLOOKUP(D2,Amazon詳細!D:D,1,0)</f>
        <v>#N/A</v>
      </c>
    </row>
    <row r="3" spans="1:11" x14ac:dyDescent="0.8">
      <c r="A3" s="9">
        <v>45991</v>
      </c>
      <c r="B3" t="s">
        <v>61</v>
      </c>
      <c r="C3" t="s">
        <v>42</v>
      </c>
      <c r="D3" t="s">
        <v>152</v>
      </c>
      <c r="E3" t="s">
        <v>78</v>
      </c>
      <c r="F3">
        <v>8084</v>
      </c>
      <c r="G3">
        <v>-1162</v>
      </c>
      <c r="H3">
        <v>-2188</v>
      </c>
      <c r="I3">
        <v>1074</v>
      </c>
      <c r="J3">
        <v>5808</v>
      </c>
      <c r="K3" s="19" t="e">
        <f>VLOOKUP(D3,Amazon詳細!D:D,1,0)</f>
        <v>#N/A</v>
      </c>
    </row>
    <row r="4" spans="1:11" x14ac:dyDescent="0.8">
      <c r="A4" s="9">
        <v>45990</v>
      </c>
      <c r="B4" t="s">
        <v>61</v>
      </c>
      <c r="C4" t="s">
        <v>42</v>
      </c>
      <c r="D4" t="s">
        <v>153</v>
      </c>
      <c r="E4" t="s">
        <v>78</v>
      </c>
      <c r="F4">
        <v>4042</v>
      </c>
      <c r="G4">
        <v>-418</v>
      </c>
      <c r="H4">
        <v>-1160</v>
      </c>
      <c r="I4">
        <v>778</v>
      </c>
      <c r="J4">
        <v>3242</v>
      </c>
      <c r="K4" s="19" t="e">
        <f>VLOOKUP(D4,Amazon詳細!D:D,1,0)</f>
        <v>#N/A</v>
      </c>
    </row>
    <row r="5" spans="1:11" x14ac:dyDescent="0.8">
      <c r="A5" s="9">
        <v>45990</v>
      </c>
      <c r="B5" t="s">
        <v>61</v>
      </c>
      <c r="C5" t="s">
        <v>42</v>
      </c>
      <c r="D5" t="s">
        <v>154</v>
      </c>
      <c r="E5" t="s">
        <v>78</v>
      </c>
      <c r="F5">
        <v>16167</v>
      </c>
      <c r="G5">
        <v>0</v>
      </c>
      <c r="H5">
        <v>-4640</v>
      </c>
      <c r="I5">
        <v>1441</v>
      </c>
      <c r="J5">
        <v>12968</v>
      </c>
      <c r="K5" s="19" t="e">
        <f>VLOOKUP(D5,Amazon詳細!D:D,1,0)</f>
        <v>#N/A</v>
      </c>
    </row>
    <row r="6" spans="1:11" x14ac:dyDescent="0.8">
      <c r="A6" s="9">
        <v>45990</v>
      </c>
      <c r="B6" t="s">
        <v>61</v>
      </c>
      <c r="C6" t="s">
        <v>42</v>
      </c>
      <c r="D6" t="s">
        <v>155</v>
      </c>
      <c r="E6" t="s">
        <v>78</v>
      </c>
      <c r="F6">
        <v>4042</v>
      </c>
      <c r="G6">
        <v>0</v>
      </c>
      <c r="H6">
        <v>-1160</v>
      </c>
      <c r="I6">
        <v>360</v>
      </c>
      <c r="J6">
        <v>3242</v>
      </c>
      <c r="K6" s="19" t="e">
        <f>VLOOKUP(D6,Amazon詳細!D:D,1,0)</f>
        <v>#N/A</v>
      </c>
    </row>
    <row r="7" spans="1:11" x14ac:dyDescent="0.8">
      <c r="A7" s="9">
        <v>45989</v>
      </c>
      <c r="B7" t="s">
        <v>61</v>
      </c>
      <c r="C7" t="s">
        <v>42</v>
      </c>
      <c r="D7" t="s">
        <v>156</v>
      </c>
      <c r="E7" t="s">
        <v>78</v>
      </c>
      <c r="F7">
        <v>4042</v>
      </c>
      <c r="G7">
        <v>0</v>
      </c>
      <c r="H7">
        <v>-1160</v>
      </c>
      <c r="I7">
        <v>360</v>
      </c>
      <c r="J7">
        <v>3242</v>
      </c>
      <c r="K7" s="19" t="e">
        <f>VLOOKUP(D7,Amazon詳細!D:D,1,0)</f>
        <v>#N/A</v>
      </c>
    </row>
    <row r="8" spans="1:11" x14ac:dyDescent="0.8">
      <c r="A8" s="9">
        <v>45989</v>
      </c>
      <c r="B8" t="s">
        <v>61</v>
      </c>
      <c r="C8" t="s">
        <v>42</v>
      </c>
      <c r="D8" t="s">
        <v>157</v>
      </c>
      <c r="E8" t="s">
        <v>78</v>
      </c>
      <c r="F8">
        <v>4042</v>
      </c>
      <c r="G8">
        <v>0</v>
      </c>
      <c r="H8">
        <v>-1160</v>
      </c>
      <c r="I8">
        <v>360</v>
      </c>
      <c r="J8">
        <v>3242</v>
      </c>
      <c r="K8" s="19" t="e">
        <f>VLOOKUP(D8,Amazon詳細!D:D,1,0)</f>
        <v>#N/A</v>
      </c>
    </row>
    <row r="9" spans="1:11" x14ac:dyDescent="0.8">
      <c r="A9" s="9">
        <v>45989</v>
      </c>
      <c r="B9" t="s">
        <v>61</v>
      </c>
      <c r="C9" t="s">
        <v>42</v>
      </c>
      <c r="D9" t="s">
        <v>158</v>
      </c>
      <c r="E9" t="s">
        <v>78</v>
      </c>
      <c r="F9">
        <v>4042</v>
      </c>
      <c r="G9">
        <v>0</v>
      </c>
      <c r="H9">
        <v>-1160</v>
      </c>
      <c r="I9">
        <v>360</v>
      </c>
      <c r="J9">
        <v>3242</v>
      </c>
      <c r="K9" s="19" t="e">
        <f>VLOOKUP(D9,Amazon詳細!D:D,1,0)</f>
        <v>#N/A</v>
      </c>
    </row>
    <row r="10" spans="1:11" x14ac:dyDescent="0.8">
      <c r="A10" s="9">
        <v>45989</v>
      </c>
      <c r="B10" t="s">
        <v>61</v>
      </c>
      <c r="C10" t="s">
        <v>42</v>
      </c>
      <c r="D10" t="s">
        <v>159</v>
      </c>
      <c r="E10" t="s">
        <v>78</v>
      </c>
      <c r="F10">
        <v>4042</v>
      </c>
      <c r="G10">
        <v>0</v>
      </c>
      <c r="H10">
        <v>-1160</v>
      </c>
      <c r="I10">
        <v>360</v>
      </c>
      <c r="J10">
        <v>3242</v>
      </c>
      <c r="K10" s="19" t="e">
        <f>VLOOKUP(D10,Amazon詳細!D:D,1,0)</f>
        <v>#N/A</v>
      </c>
    </row>
    <row r="11" spans="1:11" x14ac:dyDescent="0.8">
      <c r="A11" s="9">
        <v>45989</v>
      </c>
      <c r="B11" t="s">
        <v>61</v>
      </c>
      <c r="C11" t="s">
        <v>42</v>
      </c>
      <c r="D11" t="s">
        <v>160</v>
      </c>
      <c r="E11" t="s">
        <v>78</v>
      </c>
      <c r="F11">
        <v>4042</v>
      </c>
      <c r="G11">
        <v>0</v>
      </c>
      <c r="H11">
        <v>-1160</v>
      </c>
      <c r="I11">
        <v>360</v>
      </c>
      <c r="J11">
        <v>3242</v>
      </c>
      <c r="K11" s="19" t="e">
        <f>VLOOKUP(D11,Amazon詳細!D:D,1,0)</f>
        <v>#N/A</v>
      </c>
    </row>
    <row r="12" spans="1:11" x14ac:dyDescent="0.8">
      <c r="A12" s="9">
        <v>45989</v>
      </c>
      <c r="B12" t="s">
        <v>61</v>
      </c>
      <c r="C12" t="s">
        <v>42</v>
      </c>
      <c r="D12" t="s">
        <v>161</v>
      </c>
      <c r="E12" t="s">
        <v>78</v>
      </c>
      <c r="F12">
        <v>4893</v>
      </c>
      <c r="G12">
        <v>0</v>
      </c>
      <c r="H12">
        <v>-1334</v>
      </c>
      <c r="I12">
        <v>435</v>
      </c>
      <c r="J12">
        <v>3994</v>
      </c>
      <c r="K12" s="19" t="e">
        <f>VLOOKUP(D12,Amazon詳細!D:D,1,0)</f>
        <v>#N/A</v>
      </c>
    </row>
    <row r="13" spans="1:11" x14ac:dyDescent="0.8">
      <c r="A13" s="9">
        <v>45988</v>
      </c>
      <c r="B13" t="s">
        <v>61</v>
      </c>
      <c r="C13" t="s">
        <v>42</v>
      </c>
      <c r="D13" t="s">
        <v>162</v>
      </c>
      <c r="E13" t="s">
        <v>78</v>
      </c>
      <c r="F13">
        <v>4893</v>
      </c>
      <c r="G13">
        <v>0</v>
      </c>
      <c r="H13">
        <v>-1334</v>
      </c>
      <c r="I13">
        <v>435</v>
      </c>
      <c r="J13">
        <v>3994</v>
      </c>
      <c r="K13" s="19" t="e">
        <f>VLOOKUP(D13,Amazon詳細!D:D,1,0)</f>
        <v>#N/A</v>
      </c>
    </row>
    <row r="14" spans="1:11" x14ac:dyDescent="0.8">
      <c r="A14" s="9">
        <v>45988</v>
      </c>
      <c r="B14" t="s">
        <v>61</v>
      </c>
      <c r="C14" t="s">
        <v>42</v>
      </c>
      <c r="D14" t="s">
        <v>163</v>
      </c>
      <c r="E14" t="s">
        <v>78</v>
      </c>
      <c r="F14">
        <v>4042</v>
      </c>
      <c r="G14">
        <v>0</v>
      </c>
      <c r="H14">
        <v>-1160</v>
      </c>
      <c r="I14">
        <v>360</v>
      </c>
      <c r="J14">
        <v>3242</v>
      </c>
      <c r="K14" s="19" t="e">
        <f>VLOOKUP(D14,Amazon詳細!D:D,1,0)</f>
        <v>#N/A</v>
      </c>
    </row>
    <row r="15" spans="1:11" x14ac:dyDescent="0.8">
      <c r="A15" s="9">
        <v>45988</v>
      </c>
      <c r="B15" t="s">
        <v>61</v>
      </c>
      <c r="C15" t="s">
        <v>42</v>
      </c>
      <c r="D15" t="s">
        <v>164</v>
      </c>
      <c r="E15" t="s">
        <v>78</v>
      </c>
      <c r="F15">
        <v>4042</v>
      </c>
      <c r="G15">
        <v>0</v>
      </c>
      <c r="H15">
        <v>-1160</v>
      </c>
      <c r="I15">
        <v>360</v>
      </c>
      <c r="J15">
        <v>3242</v>
      </c>
      <c r="K15" s="19" t="e">
        <f>VLOOKUP(D15,Amazon詳細!D:D,1,0)</f>
        <v>#N/A</v>
      </c>
    </row>
    <row r="16" spans="1:11" x14ac:dyDescent="0.8">
      <c r="A16" s="9">
        <v>45988</v>
      </c>
      <c r="B16" t="s">
        <v>61</v>
      </c>
      <c r="C16" t="s">
        <v>42</v>
      </c>
      <c r="D16" t="s">
        <v>165</v>
      </c>
      <c r="E16" t="s">
        <v>78</v>
      </c>
      <c r="F16">
        <v>4042</v>
      </c>
      <c r="G16">
        <v>-209</v>
      </c>
      <c r="H16">
        <v>-1160</v>
      </c>
      <c r="I16">
        <v>569</v>
      </c>
      <c r="J16">
        <v>3242</v>
      </c>
      <c r="K16" s="19" t="e">
        <f>VLOOKUP(D16,Amazon詳細!D:D,1,0)</f>
        <v>#N/A</v>
      </c>
    </row>
    <row r="17" spans="1:11" x14ac:dyDescent="0.8">
      <c r="A17" s="9">
        <v>45987</v>
      </c>
      <c r="B17" t="s">
        <v>61</v>
      </c>
      <c r="C17" t="s">
        <v>42</v>
      </c>
      <c r="D17" t="s">
        <v>166</v>
      </c>
      <c r="E17" t="s">
        <v>78</v>
      </c>
      <c r="F17">
        <v>4042</v>
      </c>
      <c r="G17">
        <v>0</v>
      </c>
      <c r="H17">
        <v>-1160</v>
      </c>
      <c r="I17">
        <v>360</v>
      </c>
      <c r="J17">
        <v>3242</v>
      </c>
      <c r="K17" s="19" t="e">
        <f>VLOOKUP(D17,Amazon詳細!D:D,1,0)</f>
        <v>#N/A</v>
      </c>
    </row>
    <row r="18" spans="1:11" x14ac:dyDescent="0.8">
      <c r="A18" s="9">
        <v>45987</v>
      </c>
      <c r="B18" t="s">
        <v>61</v>
      </c>
      <c r="C18" t="s">
        <v>42</v>
      </c>
      <c r="D18" t="s">
        <v>167</v>
      </c>
      <c r="E18" t="s">
        <v>78</v>
      </c>
      <c r="F18">
        <v>4042</v>
      </c>
      <c r="G18">
        <v>0</v>
      </c>
      <c r="H18">
        <v>-1160</v>
      </c>
      <c r="I18">
        <v>360</v>
      </c>
      <c r="J18">
        <v>3242</v>
      </c>
      <c r="K18" s="19" t="e">
        <f>VLOOKUP(D18,Amazon詳細!D:D,1,0)</f>
        <v>#N/A</v>
      </c>
    </row>
    <row r="19" spans="1:11" x14ac:dyDescent="0.8">
      <c r="A19" s="9">
        <v>45987</v>
      </c>
      <c r="B19" t="s">
        <v>61</v>
      </c>
      <c r="C19" t="s">
        <v>42</v>
      </c>
      <c r="D19" t="s">
        <v>168</v>
      </c>
      <c r="E19" t="s">
        <v>78</v>
      </c>
      <c r="F19">
        <v>4042</v>
      </c>
      <c r="G19">
        <v>0</v>
      </c>
      <c r="H19">
        <v>-1160</v>
      </c>
      <c r="I19">
        <v>360</v>
      </c>
      <c r="J19">
        <v>3242</v>
      </c>
      <c r="K19" s="19" t="e">
        <f>VLOOKUP(D19,Amazon詳細!D:D,1,0)</f>
        <v>#N/A</v>
      </c>
    </row>
    <row r="20" spans="1:11" x14ac:dyDescent="0.8">
      <c r="A20" s="9">
        <v>45986</v>
      </c>
      <c r="B20" t="s">
        <v>61</v>
      </c>
      <c r="C20" t="s">
        <v>42</v>
      </c>
      <c r="D20" t="s">
        <v>169</v>
      </c>
      <c r="E20" t="s">
        <v>78</v>
      </c>
      <c r="F20">
        <v>8084</v>
      </c>
      <c r="G20">
        <v>0</v>
      </c>
      <c r="H20">
        <v>-2320</v>
      </c>
      <c r="I20">
        <v>720</v>
      </c>
      <c r="J20">
        <v>6484</v>
      </c>
      <c r="K20" s="19" t="e">
        <f>VLOOKUP(D20,Amazon詳細!D:D,1,0)</f>
        <v>#N/A</v>
      </c>
    </row>
    <row r="21" spans="1:11" x14ac:dyDescent="0.8">
      <c r="A21" s="9">
        <v>45986</v>
      </c>
      <c r="B21" t="s">
        <v>61</v>
      </c>
      <c r="C21" t="s">
        <v>42</v>
      </c>
      <c r="D21" t="s">
        <v>170</v>
      </c>
      <c r="E21" t="s">
        <v>78</v>
      </c>
      <c r="F21">
        <v>4042</v>
      </c>
      <c r="G21">
        <v>0</v>
      </c>
      <c r="H21">
        <v>-1160</v>
      </c>
      <c r="I21">
        <v>360</v>
      </c>
      <c r="J21">
        <v>3242</v>
      </c>
      <c r="K21" s="19" t="e">
        <f>VLOOKUP(D21,Amazon詳細!D:D,1,0)</f>
        <v>#N/A</v>
      </c>
    </row>
    <row r="22" spans="1:11" x14ac:dyDescent="0.8">
      <c r="A22" s="9">
        <v>45986</v>
      </c>
      <c r="B22" t="s">
        <v>61</v>
      </c>
      <c r="C22" t="s">
        <v>42</v>
      </c>
      <c r="D22" t="s">
        <v>171</v>
      </c>
      <c r="E22" t="s">
        <v>78</v>
      </c>
      <c r="F22">
        <v>4042</v>
      </c>
      <c r="G22">
        <v>0</v>
      </c>
      <c r="H22">
        <v>-1160</v>
      </c>
      <c r="I22">
        <v>360</v>
      </c>
      <c r="J22">
        <v>3242</v>
      </c>
      <c r="K22" s="19" t="e">
        <f>VLOOKUP(D22,Amazon詳細!D:D,1,0)</f>
        <v>#N/A</v>
      </c>
    </row>
    <row r="23" spans="1:11" x14ac:dyDescent="0.8">
      <c r="A23" s="9">
        <v>45985</v>
      </c>
      <c r="B23" t="s">
        <v>61</v>
      </c>
      <c r="C23" t="s">
        <v>42</v>
      </c>
      <c r="D23" t="s">
        <v>172</v>
      </c>
      <c r="E23" t="s">
        <v>78</v>
      </c>
      <c r="F23">
        <v>4042</v>
      </c>
      <c r="G23">
        <v>0</v>
      </c>
      <c r="H23">
        <v>-1160</v>
      </c>
      <c r="I23">
        <v>360</v>
      </c>
      <c r="J23">
        <v>3242</v>
      </c>
      <c r="K23" s="19" t="e">
        <f>VLOOKUP(D23,Amazon詳細!D:D,1,0)</f>
        <v>#N/A</v>
      </c>
    </row>
    <row r="24" spans="1:11" x14ac:dyDescent="0.8">
      <c r="A24" s="9">
        <v>45984</v>
      </c>
      <c r="B24" t="s">
        <v>61</v>
      </c>
      <c r="C24" t="s">
        <v>42</v>
      </c>
      <c r="D24" t="s">
        <v>173</v>
      </c>
      <c r="E24" t="s">
        <v>78</v>
      </c>
      <c r="F24">
        <v>4042</v>
      </c>
      <c r="G24">
        <v>0</v>
      </c>
      <c r="H24">
        <v>-1160</v>
      </c>
      <c r="I24">
        <v>360</v>
      </c>
      <c r="J24">
        <v>3242</v>
      </c>
      <c r="K24" s="19" t="e">
        <f>VLOOKUP(D24,Amazon詳細!D:D,1,0)</f>
        <v>#N/A</v>
      </c>
    </row>
    <row r="25" spans="1:11" x14ac:dyDescent="0.8">
      <c r="A25" s="9">
        <v>45984</v>
      </c>
      <c r="B25" t="s">
        <v>61</v>
      </c>
      <c r="C25" t="s">
        <v>42</v>
      </c>
      <c r="D25" t="s">
        <v>174</v>
      </c>
      <c r="E25" t="s">
        <v>78</v>
      </c>
      <c r="F25">
        <v>8084</v>
      </c>
      <c r="G25">
        <v>0</v>
      </c>
      <c r="H25">
        <v>-1343</v>
      </c>
      <c r="I25">
        <v>720</v>
      </c>
      <c r="J25">
        <v>7461</v>
      </c>
      <c r="K25" s="19" t="e">
        <f>VLOOKUP(D25,Amazon詳細!D:D,1,0)</f>
        <v>#N/A</v>
      </c>
    </row>
    <row r="26" spans="1:11" x14ac:dyDescent="0.8">
      <c r="A26" s="9">
        <v>45983</v>
      </c>
      <c r="B26" t="s">
        <v>61</v>
      </c>
      <c r="C26" t="s">
        <v>42</v>
      </c>
      <c r="D26" t="s">
        <v>175</v>
      </c>
      <c r="E26" t="s">
        <v>78</v>
      </c>
      <c r="F26">
        <v>4042</v>
      </c>
      <c r="G26">
        <v>-806</v>
      </c>
      <c r="H26">
        <v>-1094</v>
      </c>
      <c r="I26">
        <v>762</v>
      </c>
      <c r="J26">
        <v>2904</v>
      </c>
      <c r="K26" s="19" t="e">
        <f>VLOOKUP(D26,Amazon詳細!D:D,1,0)</f>
        <v>#N/A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E26" sqref="E26"/>
    </sheetView>
  </sheetViews>
  <sheetFormatPr defaultColWidth="10.6640625" defaultRowHeight="19.899999999999999" x14ac:dyDescent="0.8"/>
  <cols>
    <col min="13" max="13" width="10.71875" style="8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8" t="s">
        <v>19</v>
      </c>
    </row>
    <row r="2" spans="1:13" x14ac:dyDescent="0.8">
      <c r="A2" s="9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8">
        <f t="shared" ref="M2:M17" si="0">I2/K2</f>
        <v>3.7443402784301201E-2</v>
      </c>
    </row>
    <row r="3" spans="1:13" x14ac:dyDescent="0.8">
      <c r="A3" s="9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8">
        <f t="shared" si="0"/>
        <v>3.6885245901639344E-2</v>
      </c>
    </row>
    <row r="4" spans="1:13" x14ac:dyDescent="0.8">
      <c r="A4" s="9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8">
        <f t="shared" si="0"/>
        <v>3.683953584438019E-2</v>
      </c>
    </row>
    <row r="5" spans="1:13" x14ac:dyDescent="0.8">
      <c r="A5" s="9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8">
        <f t="shared" si="0"/>
        <v>3.6825461593389779E-2</v>
      </c>
    </row>
    <row r="6" spans="1:13" x14ac:dyDescent="0.8">
      <c r="A6" s="9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8">
        <f t="shared" si="0"/>
        <v>3.718177377395572E-2</v>
      </c>
    </row>
    <row r="7" spans="1:13" x14ac:dyDescent="0.8">
      <c r="A7" s="9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8">
        <f t="shared" si="0"/>
        <v>3.7838694971358347E-2</v>
      </c>
    </row>
    <row r="8" spans="1:13" x14ac:dyDescent="0.8">
      <c r="A8" s="9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8">
        <f t="shared" si="0"/>
        <v>3.6861506055818852E-2</v>
      </c>
    </row>
    <row r="9" spans="1:13" x14ac:dyDescent="0.8">
      <c r="A9" s="9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8">
        <f t="shared" si="0"/>
        <v>3.6818851251840944E-2</v>
      </c>
    </row>
    <row r="10" spans="1:13" x14ac:dyDescent="0.8">
      <c r="A10" s="9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8">
        <f t="shared" si="0"/>
        <v>3.6831401917427932E-2</v>
      </c>
    </row>
    <row r="11" spans="1:13" x14ac:dyDescent="0.8">
      <c r="A11" s="9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8">
        <f t="shared" si="0"/>
        <v>3.6838729468194872E-2</v>
      </c>
    </row>
    <row r="12" spans="1:13" x14ac:dyDescent="0.8">
      <c r="A12" s="9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8">
        <f t="shared" si="0"/>
        <v>3.7946428571428568E-2</v>
      </c>
    </row>
    <row r="13" spans="1:13" x14ac:dyDescent="0.8">
      <c r="A13" s="9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8">
        <f t="shared" si="0"/>
        <v>3.6885245901639344E-2</v>
      </c>
    </row>
    <row r="14" spans="1:13" x14ac:dyDescent="0.8">
      <c r="A14" s="9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8">
        <f t="shared" si="0"/>
        <v>3.7091401795291593E-2</v>
      </c>
    </row>
    <row r="15" spans="1:13" x14ac:dyDescent="0.8">
      <c r="A15" s="9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8">
        <f t="shared" si="0"/>
        <v>3.6808633648101753E-2</v>
      </c>
    </row>
    <row r="16" spans="1:13" x14ac:dyDescent="0.8">
      <c r="A16" s="9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8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8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レヴェニューシェア資料</vt:lpstr>
      <vt:lpstr>Amazon詳細</vt:lpstr>
      <vt:lpstr>留保中12月請求時確認</vt:lpstr>
      <vt:lpstr>shopify手数料試算</vt:lpstr>
      <vt:lpstr>レヴェニューシェア資料!Print_Area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2025-12-02T13:20:21Z</cp:lastPrinted>
  <dcterms:created xsi:type="dcterms:W3CDTF">2025-01-24T08:40:17Z</dcterms:created>
  <dcterms:modified xsi:type="dcterms:W3CDTF">2026-03-13T21:13:11Z</dcterms:modified>
</cp:coreProperties>
</file>