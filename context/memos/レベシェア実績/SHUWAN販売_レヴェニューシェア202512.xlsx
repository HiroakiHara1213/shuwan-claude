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9CC77EE4-16AA-44DC-A18A-642F77342DAA}" xr6:coauthVersionLast="47" xr6:coauthVersionMax="47" xr10:uidLastSave="{00000000-0000-0000-0000-000000000000}"/>
  <bookViews>
    <workbookView xWindow="-135" yWindow="0" windowWidth="16567" windowHeight="13403" xr2:uid="{9516FBB4-3A9B-6D45-85D3-EE0B367FE07A}"/>
  </bookViews>
  <sheets>
    <sheet name="レヴェニューシェア資料" sheetId="2" r:id="rId1"/>
    <sheet name="Amazon詳細" sheetId="5" r:id="rId2"/>
    <sheet name="留保中1月請求時確認" sheetId="6" r:id="rId3"/>
    <sheet name="shopify手数料試算" sheetId="3" r:id="rId4"/>
  </sheets>
  <definedNames>
    <definedName name="_xlnm._FilterDatabase" localSheetId="1" hidden="1">Amazon詳細!$A$1:$M$129</definedName>
    <definedName name="payment_transactions_export_1__2" localSheetId="3">shopify手数料試算!#REF!</definedName>
    <definedName name="_xlnm.Print_Area" localSheetId="0">レヴェニューシェア資料!$A$1:$E$60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2" l="1"/>
  <c r="D47" i="2" l="1"/>
  <c r="C45" i="2"/>
  <c r="D30" i="2"/>
  <c r="D41" i="2" l="1"/>
  <c r="C41" i="2"/>
  <c r="D15" i="2"/>
  <c r="D17" i="2"/>
  <c r="D18" i="2"/>
  <c r="F123" i="5" l="1"/>
  <c r="D24" i="2"/>
  <c r="K123" i="5"/>
  <c r="G123" i="5"/>
  <c r="J123" i="5"/>
  <c r="I123" i="5"/>
  <c r="H123" i="5"/>
  <c r="C42" i="2" l="1"/>
  <c r="D48" i="2" l="1"/>
  <c r="D10" i="2"/>
  <c r="D40" i="2"/>
  <c r="D42" i="2"/>
  <c r="C20" i="2"/>
  <c r="C43" i="2" s="1"/>
  <c r="D14" i="2"/>
  <c r="D13" i="2"/>
  <c r="D43" i="2" l="1"/>
  <c r="C46" i="2"/>
  <c r="H128" i="5" l="1"/>
  <c r="L123" i="5"/>
  <c r="M123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D23" i="2"/>
  <c r="H129" i="5" l="1"/>
  <c r="D35" i="2"/>
  <c r="D34" i="2"/>
  <c r="D33" i="2"/>
  <c r="D36" i="2" l="1"/>
  <c r="B55" i="2" s="1"/>
  <c r="G6" i="2" l="1"/>
  <c r="H6" i="2" s="1"/>
  <c r="G5" i="2"/>
  <c r="H5" i="2" s="1"/>
  <c r="G4" i="2"/>
  <c r="H4" i="2" s="1"/>
  <c r="G3" i="2"/>
  <c r="H3" i="2" s="1"/>
  <c r="C7" i="2"/>
  <c r="C44" i="2" s="1"/>
  <c r="B6" i="2"/>
  <c r="B5" i="2"/>
  <c r="B4" i="2"/>
  <c r="B3" i="2"/>
  <c r="D45" i="2" l="1"/>
  <c r="H7" i="2"/>
  <c r="D44" i="2" s="1"/>
  <c r="B44" i="2" s="1"/>
  <c r="D7" i="2"/>
  <c r="D19" i="2" l="1"/>
  <c r="B54" i="2" l="1"/>
  <c r="B25" i="2"/>
  <c r="D16" i="2" l="1"/>
  <c r="D20" i="2" s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46" i="2"/>
  <c r="D46" i="2" s="1"/>
  <c r="D49" i="2" s="1"/>
  <c r="B53" i="2" l="1"/>
  <c r="B56" i="2" s="1"/>
  <c r="B58" i="2" l="1"/>
  <c r="B57" i="2"/>
</calcChain>
</file>

<file path=xl/sharedStrings.xml><?xml version="1.0" encoding="utf-8"?>
<sst xmlns="http://schemas.openxmlformats.org/spreadsheetml/2006/main" count="707" uniqueCount="239">
  <si>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</si>
  <si>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</si>
  <si>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</si>
  <si>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</si>
  <si>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</si>
  <si>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</si>
  <si>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</si>
  <si>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</si>
  <si>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</si>
  <si>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</si>
  <si>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</si>
  <si>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</si>
  <si>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</si>
  <si>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</si>
  <si>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</si>
  <si>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</si>
  <si>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</si>
  <si>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</si>
  <si>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</si>
  <si>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</si>
  <si>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</si>
  <si>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</si>
  <si>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</si>
  <si>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</si>
  <si>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</si>
  <si>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</si>
  <si>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</si>
  <si>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</si>
  <si>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</si>
  <si>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</si>
  <si>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</si>
  <si>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</si>
  <si>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</si>
  <si>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</si>
  <si>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</si>
  <si>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</si>
  <si>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</si>
  <si>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</si>
  <si>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</si>
  <si>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</si>
  <si>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</si>
  <si>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</si>
  <si>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</si>
  <si>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</si>
  <si>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</si>
  <si>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</si>
  <si>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</si>
  <si>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</si>
  <si>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</si>
  <si>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</si>
  <si>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</si>
  <si>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</si>
  <si>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</si>
  <si>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</si>
  <si>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---</t>
  </si>
  <si>
    <t>広告費用</t>
  </si>
  <si>
    <t>月額登録料：</t>
  </si>
  <si>
    <t>その他費用</t>
    <phoneticPr fontId="1"/>
  </si>
  <si>
    <t>SHUWAN箱あり</t>
    <rPh sb="6" eb="7">
      <t xml:space="preserve">ハコアリ </t>
    </rPh>
    <phoneticPr fontId="1"/>
  </si>
  <si>
    <t>販売数量</t>
    <rPh sb="0" eb="2">
      <t xml:space="preserve">ハンバイ </t>
    </rPh>
    <rPh sb="2" eb="4">
      <t xml:space="preserve">スウリョウ </t>
    </rPh>
    <phoneticPr fontId="4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</si>
  <si>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</si>
  <si>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</si>
  <si>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</si>
  <si>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</si>
  <si>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</si>
  <si>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</si>
  <si>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</si>
  <si>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</si>
  <si>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</si>
  <si>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</si>
  <si>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月額登録料(税込)</t>
    <rPh sb="6" eb="8">
      <t xml:space="preserve">ゼイコミ </t>
    </rPh>
    <phoneticPr fontId="1"/>
  </si>
  <si>
    <t>広告費用(税込)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</si>
  <si>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</si>
  <si>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</si>
  <si>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</si>
  <si>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</si>
  <si>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</si>
  <si>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</si>
  <si>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 酒器 おちょこ ぐい呑み 日本酒グラス 270ml 磁器 日本製 ...</t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</si>
  <si>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</si>
  <si>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</si>
  <si>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</si>
  <si>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</si>
  <si>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</si>
  <si>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</si>
  <si>
    <t>桐箱1</t>
    <rPh sb="0" eb="2">
      <t xml:space="preserve">キリバコ </t>
    </rPh>
    <phoneticPr fontId="1"/>
  </si>
  <si>
    <t>桐箱2</t>
    <rPh sb="0" eb="2">
      <t xml:space="preserve">キリバコ </t>
    </rPh>
    <phoneticPr fontId="1"/>
  </si>
  <si>
    <t>プロモーション手数料(税込)</t>
    <phoneticPr fontId="1"/>
  </si>
  <si>
    <t>月額登録料
広告費用
プロモーション手数料
(税抜)</t>
    <phoneticPr fontId="1"/>
  </si>
  <si>
    <t>広告費用
月額登録料
プロモーション手数料</t>
    <phoneticPr fontId="1"/>
  </si>
  <si>
    <t>アマゾン販売分木箱コスト</t>
    <rPh sb="4" eb="7">
      <t xml:space="preserve">ハンバイブン </t>
    </rPh>
    <rPh sb="7" eb="9">
      <t xml:space="preserve">キバコ </t>
    </rPh>
    <phoneticPr fontId="1"/>
  </si>
  <si>
    <t>アマゾン桐箱 1碗箱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</si>
  <si>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503-2013545-5135033</t>
  </si>
  <si>
    <t>249-3184163-2910201</t>
  </si>
  <si>
    <t>250-4650511-7734228</t>
  </si>
  <si>
    <t>249-4168228-6351862</t>
  </si>
  <si>
    <t>503-3715259-9108626</t>
  </si>
  <si>
    <t>249-9837720-3591833</t>
  </si>
  <si>
    <t>250-6265678-5643029</t>
  </si>
  <si>
    <t>503-7751489-9509403</t>
  </si>
  <si>
    <t>249-3087859-9163022</t>
  </si>
  <si>
    <t>249-0662433-6281460</t>
  </si>
  <si>
    <t>249-7888061-2015835</t>
  </si>
  <si>
    <t>250-8033166-3884610</t>
  </si>
  <si>
    <t>249-1337308-1559807</t>
  </si>
  <si>
    <t>503-4914983-6451842</t>
  </si>
  <si>
    <t>249-1226716-0483042</t>
  </si>
  <si>
    <t>503-2463232-3152641</t>
  </si>
  <si>
    <t>249-2572055-3763827</t>
  </si>
  <si>
    <t>250-7320542-5241406</t>
  </si>
  <si>
    <t>250-9254669-7517411</t>
  </si>
  <si>
    <t>250-9432919-9326254</t>
  </si>
  <si>
    <t>250-9847926-9547853</t>
  </si>
  <si>
    <t>249-8880604-3652612</t>
  </si>
  <si>
    <t>503-4346602-5188612</t>
  </si>
  <si>
    <t>249-8272022-3090257</t>
  </si>
  <si>
    <t>503-5051714-0721457</t>
  </si>
  <si>
    <t>番号確認</t>
    <rPh sb="0" eb="2">
      <t xml:space="preserve">バンゴウ </t>
    </rPh>
    <rPh sb="2" eb="4">
      <t xml:space="preserve">カクニン </t>
    </rPh>
    <phoneticPr fontId="1"/>
  </si>
  <si>
    <t>アマゾン桐箱 2碗箱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</si>
  <si>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平均単価</t>
    <rPh sb="0" eb="2">
      <t xml:space="preserve">ヘイキン </t>
    </rPh>
    <rPh sb="2" eb="4">
      <t xml:space="preserve">タンカ </t>
    </rPh>
    <phoneticPr fontId="1"/>
  </si>
  <si>
    <t>SHUWAN箱なし</t>
    <rPh sb="6" eb="7">
      <t xml:space="preserve">ハコ </t>
    </rPh>
    <phoneticPr fontId="1"/>
  </si>
  <si>
    <t>オンラインショップ SHUWAN陶胎漆器</t>
    <rPh sb="0" eb="2">
      <t>オンラインショップ</t>
    </rPh>
    <rPh sb="16" eb="20">
      <t xml:space="preserve">トウタイシッキ </t>
    </rPh>
    <phoneticPr fontId="1"/>
  </si>
  <si>
    <t>SHUWAN陶胎漆器 原価</t>
    <rPh sb="0" eb="2">
      <t xml:space="preserve">ゲンカ </t>
    </rPh>
    <rPh sb="6" eb="10">
      <t xml:space="preserve">トウタイシッキ </t>
    </rPh>
    <phoneticPr fontId="1"/>
  </si>
  <si>
    <t>送料値引き</t>
    <rPh sb="0" eb="2">
      <t xml:space="preserve">ソウリョウ </t>
    </rPh>
    <rPh sb="2" eb="4">
      <t xml:space="preserve">ネビキ </t>
    </rPh>
    <phoneticPr fontId="1"/>
  </si>
  <si>
    <t>そそぎ原価</t>
    <rPh sb="3" eb="5">
      <t xml:space="preserve">ゲンカ </t>
    </rPh>
    <phoneticPr fontId="1"/>
  </si>
  <si>
    <t>249-3243967-2306223</t>
  </si>
  <si>
    <t>250-9741592-9678248</t>
  </si>
  <si>
    <t>249-2504865-6667055</t>
  </si>
  <si>
    <t>250-3052206-1178220</t>
  </si>
  <si>
    <t>503-1737750-3501452</t>
  </si>
  <si>
    <t>249-2438002-8910245</t>
  </si>
  <si>
    <t>249-3263559-4345455</t>
  </si>
  <si>
    <t>249-6490746-5346226</t>
  </si>
  <si>
    <t>503-3331991-7543014</t>
  </si>
  <si>
    <t>250-3143183-3017401</t>
  </si>
  <si>
    <t>503-7270054-5899043</t>
  </si>
  <si>
    <t>250-0199547-2590275</t>
  </si>
  <si>
    <t>249-4577108-2965466</t>
  </si>
  <si>
    <t>503-4855838-1050230</t>
  </si>
  <si>
    <t>503-6649286-7039813</t>
  </si>
  <si>
    <t>503-2937518-5362243</t>
  </si>
  <si>
    <t>250-6296164-1357447</t>
  </si>
  <si>
    <t>503-4336827-0155041</t>
  </si>
  <si>
    <t>249-4150217-0376641</t>
  </si>
  <si>
    <t>249-7793879-4760669</t>
  </si>
  <si>
    <t>250-0598626-1308659</t>
  </si>
  <si>
    <t>250-9035096-8239861</t>
  </si>
  <si>
    <t>503-5183698-0671823</t>
  </si>
  <si>
    <t>249-4023392-2258251</t>
  </si>
  <si>
    <t>503-2943052-3533459</t>
  </si>
  <si>
    <t>503-2195641-8505421</t>
  </si>
  <si>
    <t>250-3387017-7267014</t>
  </si>
  <si>
    <t>250-6468230-8212614</t>
  </si>
  <si>
    <t>503-8460787-5605451</t>
  </si>
  <si>
    <t>503-2764572-7875807</t>
  </si>
  <si>
    <t>250-1452793-4371015</t>
  </si>
  <si>
    <t>503-0364042-7152662</t>
  </si>
  <si>
    <t>503-3711915-2248669</t>
  </si>
  <si>
    <t>249-6297889-4154202</t>
  </si>
  <si>
    <t>249-9642933-3359010</t>
  </si>
  <si>
    <t>249-5000250-8527051</t>
  </si>
  <si>
    <t>250-9702924-5033466</t>
  </si>
  <si>
    <t>249-8559612-4645433</t>
  </si>
  <si>
    <t>503-6642669-0852631</t>
  </si>
  <si>
    <t>503-6926451-4724620</t>
  </si>
  <si>
    <t>250-9151256-9205437</t>
  </si>
  <si>
    <t>503-4005966-1107013</t>
  </si>
  <si>
    <t>503-9248144-3471037</t>
  </si>
  <si>
    <t>503-3307929-6851023</t>
  </si>
  <si>
    <t>250-8649563-9152657</t>
  </si>
  <si>
    <t>503-2889803-9219809</t>
  </si>
  <si>
    <t>503-5256721-1386202</t>
  </si>
  <si>
    <t>503-4611673-3275069</t>
  </si>
  <si>
    <t>503-0857503-1815004</t>
  </si>
  <si>
    <t>250-2707319-4350211</t>
  </si>
  <si>
    <t>249-0983870-9902246</t>
  </si>
  <si>
    <t>503-4377943-7123015</t>
  </si>
  <si>
    <t>250-3699519-1138225</t>
  </si>
  <si>
    <t>249-1043353-5968637</t>
  </si>
  <si>
    <t>249-3395405-0512640</t>
  </si>
  <si>
    <t>503-8236909-6670250</t>
  </si>
  <si>
    <t>503-9729954-6523011</t>
  </si>
  <si>
    <t>249-4898620-5908668</t>
  </si>
  <si>
    <t>503-7349053-0193414</t>
  </si>
  <si>
    <t>249-8938365-4542259</t>
  </si>
  <si>
    <t>250-9608473-1132636</t>
  </si>
  <si>
    <t>250-9970434-6254266</t>
  </si>
  <si>
    <t>503-0674528-8679058</t>
  </si>
  <si>
    <t>249-9667583-0266254</t>
  </si>
  <si>
    <t>503-8485674-7466235</t>
  </si>
  <si>
    <t>250-2157862-8575055</t>
  </si>
  <si>
    <t>249-2036494-2058221</t>
  </si>
  <si>
    <t>503-2685575-5218253</t>
  </si>
  <si>
    <t>503-9281222-3938210</t>
  </si>
  <si>
    <t>249-8017187-9892606</t>
  </si>
  <si>
    <t>250-2705883-6849429</t>
  </si>
  <si>
    <t>250-5064597-6017418</t>
  </si>
  <si>
    <t>503-9076013-1993428</t>
  </si>
  <si>
    <t>249-6340868-7150219</t>
  </si>
  <si>
    <t>249-2110678-7147865</t>
  </si>
  <si>
    <t>249-6828347-6379000</t>
  </si>
  <si>
    <t>250-3975392-4579046</t>
  </si>
  <si>
    <t>503-7917590-3329452</t>
  </si>
  <si>
    <t>503-2680731-5728664</t>
  </si>
  <si>
    <t>503-3792065-4540623</t>
  </si>
  <si>
    <t>250-6549794-9257447</t>
  </si>
  <si>
    <t>503-6283355-7261462</t>
  </si>
  <si>
    <t>249-9457170-4228621</t>
  </si>
  <si>
    <t>503-3139464-4989448</t>
  </si>
  <si>
    <t>249-2561109-0583034</t>
  </si>
  <si>
    <t>503-5356553-9439838</t>
  </si>
  <si>
    <t>249-0721221-4697428</t>
  </si>
  <si>
    <t>249-6847165-4231863</t>
  </si>
  <si>
    <t>503-6598659-2191830</t>
  </si>
  <si>
    <t>503-1949220-5390220</t>
  </si>
  <si>
    <t>250-9683564-6757404</t>
  </si>
  <si>
    <t>250-4004056-3402226</t>
  </si>
  <si>
    <t>249-1071006-1611857</t>
  </si>
  <si>
    <t>249-7211913-5334235</t>
  </si>
  <si>
    <t>249-2844105-2897465</t>
  </si>
  <si>
    <t>250-2745361-5908656</t>
  </si>
  <si>
    <t>249-9433497-8392626</t>
  </si>
  <si>
    <t>503-0978931-4551020</t>
  </si>
  <si>
    <t>250-5134036-1823860</t>
  </si>
  <si>
    <t>249-9883130-8115834</t>
  </si>
  <si>
    <t>503-4230563-9535827</t>
  </si>
  <si>
    <t>250-6707041-1975812</t>
  </si>
  <si>
    <t>250-1383134-2935862</t>
  </si>
  <si>
    <t>250-1234105-0950210</t>
  </si>
  <si>
    <t>249-4641001-8547804</t>
  </si>
  <si>
    <t>11月分1個調整</t>
    <rPh sb="2" eb="3">
      <t xml:space="preserve">ガツ </t>
    </rPh>
    <rPh sb="3" eb="4">
      <t xml:space="preserve">ブン </t>
    </rPh>
    <rPh sb="5" eb="6">
      <t xml:space="preserve">コ </t>
    </rPh>
    <rPh sb="6" eb="8">
      <t xml:space="preserve">チョウセイ </t>
    </rPh>
    <phoneticPr fontId="1"/>
  </si>
  <si>
    <t>ほうちょう</t>
    <phoneticPr fontId="1"/>
  </si>
  <si>
    <t>森ノ醸造所</t>
    <phoneticPr fontId="1"/>
  </si>
  <si>
    <t>森田酒店12
パシオンエナチュール12
酒ハウスモリモト24
渡邉宗田商店12
エルスタイル90
LocalDesign90
酒泉洞堀一30</t>
    <rPh sb="0" eb="4">
      <t xml:space="preserve">モリタサケテン </t>
    </rPh>
    <rPh sb="20" eb="21">
      <t xml:space="preserve">サケハウス </t>
    </rPh>
    <rPh sb="31" eb="35">
      <t xml:space="preserve">ワタナベソウタ </t>
    </rPh>
    <rPh sb="35" eb="37">
      <t xml:space="preserve">ショウテン </t>
    </rPh>
    <phoneticPr fontId="1"/>
  </si>
  <si>
    <t>たまき酒店8
福司酒造10
東市酒店10
長谷川屋12</t>
    <rPh sb="3" eb="5">
      <t xml:space="preserve">サケテン </t>
    </rPh>
    <rPh sb="7" eb="8">
      <t xml:space="preserve">フク </t>
    </rPh>
    <rPh sb="8" eb="9">
      <t xml:space="preserve">ツカサ </t>
    </rPh>
    <rPh sb="9" eb="11">
      <t xml:space="preserve">シュゾウ </t>
    </rPh>
    <rPh sb="14" eb="16">
      <t xml:space="preserve">ヒガシイチ </t>
    </rPh>
    <rPh sb="16" eb="18">
      <t xml:space="preserve">サケテン </t>
    </rPh>
    <rPh sb="21" eb="25">
      <t xml:space="preserve">ハセガワヤ </t>
    </rPh>
    <phoneticPr fontId="1"/>
  </si>
  <si>
    <t>しゅわんグラス箱無し ロゴなし</t>
    <rPh sb="7" eb="9">
      <t xml:space="preserve">ハコナシ </t>
    </rPh>
    <phoneticPr fontId="1"/>
  </si>
  <si>
    <t>11月 オンラインショップ桐箱紙袋</t>
    <rPh sb="2" eb="3">
      <t xml:space="preserve">ガツ </t>
    </rPh>
    <rPh sb="13" eb="15">
      <t xml:space="preserve">キリバコ </t>
    </rPh>
    <rPh sb="15" eb="17">
      <t xml:space="preserve">カミブクロ </t>
    </rPh>
    <phoneticPr fontId="1"/>
  </si>
  <si>
    <t>10月 オンラインショップ桐箱紙袋</t>
    <rPh sb="2" eb="3">
      <t xml:space="preserve">ガツ </t>
    </rPh>
    <phoneticPr fontId="1"/>
  </si>
  <si>
    <t>9月 オンラインショップ桐箱紙袋</t>
    <rPh sb="1" eb="2">
      <t xml:space="preserve">ガツ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</si>
</sst>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箱無し販売&quot;0"/>
    <numFmt numFmtId="177" formatCode="&quot;対象外&quot;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5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>
      <alignment vertical="center"/>
    </xf>
    <xf numFmtId="6" fontId="3" fillId="0" borderId="1" xfId="2" applyFont="1" applyBorder="1">
      <alignment vertical="center"/>
    </xf>
    <xf numFmtId="38" fontId="3" fillId="0" borderId="1" xfId="1" applyFont="1" applyBorder="1">
      <alignment vertical="center"/>
    </xf>
    <xf numFmtId="0" fontId="3" fillId="0" borderId="0" xfId="0" applyFont="1">
      <alignment vertical="center"/>
    </xf>
    <xf numFmtId="6" fontId="3" fillId="0" borderId="0" xfId="2" applyFont="1" applyBorder="1">
      <alignment vertical="center"/>
    </xf>
    <xf numFmtId="6" fontId="3" fillId="0" borderId="0" xfId="2" applyFont="1">
      <alignment vertical="center"/>
    </xf>
    <xf numFmtId="6" fontId="3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3" fillId="0" borderId="2" xfId="2" applyFont="1" applyFill="1" applyBorder="1">
      <alignment vertical="center"/>
    </xf>
    <xf numFmtId="38" fontId="3" fillId="0" borderId="2" xfId="1" applyFont="1" applyFill="1" applyBorder="1">
      <alignment vertical="center"/>
    </xf>
    <xf numFmtId="0" fontId="3" fillId="0" borderId="2" xfId="0" applyFont="1" applyBorder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6" fontId="3" fillId="0" borderId="1" xfId="2" applyFont="1" applyFill="1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176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6" fontId="3" fillId="0" borderId="0" xfId="0" applyNumberFormat="1" applyFont="1">
      <alignment vertical="center"/>
    </xf>
    <xf numFmtId="0" fontId="3" fillId="3" borderId="1" xfId="0" applyFont="1" applyFill="1" applyBorder="1">
      <alignment vertical="center"/>
    </xf>
    <xf numFmtId="6" fontId="3" fillId="3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H60"/>
  <sheetViews>
    <sheetView tabSelected="1" view="pageBreakPreview" topLeftCell="A5" zoomScale="59" zoomScaleNormal="59" zoomScaleSheetLayoutView="59" workbookViewId="0">
      <selection activeCell="E12" sqref="E12"/>
    </sheetView>
  </sheetViews>
  <sheetFormatPr defaultColWidth="10.71875" defaultRowHeight="24.4" x14ac:dyDescent="0.8"/>
  <cols>
    <col min="1" max="1" width="46.5546875" style="4" bestFit="1" customWidth="1"/>
    <col min="2" max="2" width="14.1640625" style="4" bestFit="1" customWidth="1"/>
    <col min="3" max="3" width="6.44140625" style="4" bestFit="1" customWidth="1"/>
    <col min="4" max="4" width="12.71875" style="4" bestFit="1" customWidth="1"/>
    <col min="5" max="5" width="40.5546875" style="4" bestFit="1" customWidth="1"/>
    <col min="6" max="6" width="3.27734375" style="4" customWidth="1"/>
    <col min="7" max="7" width="6.44140625" style="4" bestFit="1" customWidth="1"/>
    <col min="8" max="8" width="10.83203125" style="4" bestFit="1" customWidth="1"/>
    <col min="9" max="9" width="22" style="4" bestFit="1" customWidth="1"/>
    <col min="10" max="10" width="25.44140625" style="4" customWidth="1"/>
    <col min="11" max="11" width="12.71875" style="4" bestFit="1" customWidth="1"/>
    <col min="12" max="12" width="10.83203125" style="4" bestFit="1" customWidth="1"/>
    <col min="13" max="13" width="11.71875" style="4" bestFit="1" customWidth="1"/>
    <col min="14" max="15" width="10.83203125" style="4" bestFit="1" customWidth="1"/>
    <col min="16" max="16384" width="10.71875" style="4"/>
  </cols>
  <sheetData>
    <row r="1" spans="1:8" x14ac:dyDescent="0.8">
      <c r="A1" s="4" t="s">
        <v>13</v>
      </c>
    </row>
    <row r="2" spans="1:8" x14ac:dyDescent="0.8">
      <c r="A2" s="1" t="s">
        <v>2</v>
      </c>
      <c r="B2" s="1" t="s">
        <v>5</v>
      </c>
      <c r="C2" s="1" t="s">
        <v>3</v>
      </c>
      <c r="D2" s="1" t="s">
        <v>14</v>
      </c>
      <c r="E2" s="1" t="s">
        <v>32</v>
      </c>
      <c r="G2" s="1" t="s">
        <v>69</v>
      </c>
      <c r="H2" s="1" t="s">
        <v>14</v>
      </c>
    </row>
    <row r="3" spans="1:8" x14ac:dyDescent="0.8">
      <c r="A3" s="1" t="s">
        <v>64</v>
      </c>
      <c r="B3" s="1">
        <f>ROUND(2000/1.1,0)</f>
        <v>1818</v>
      </c>
      <c r="C3" s="1">
        <v>39</v>
      </c>
      <c r="D3" s="2">
        <v>35451</v>
      </c>
      <c r="E3" s="1"/>
      <c r="G3" s="1">
        <f>18+620</f>
        <v>638</v>
      </c>
      <c r="H3" s="1">
        <f>G3*C3</f>
        <v>24882</v>
      </c>
    </row>
    <row r="4" spans="1:8" x14ac:dyDescent="0.8">
      <c r="A4" s="1" t="s">
        <v>65</v>
      </c>
      <c r="B4" s="1">
        <f>ROUND(1000/1.1,0)</f>
        <v>909</v>
      </c>
      <c r="C4" s="1">
        <v>13</v>
      </c>
      <c r="D4" s="2">
        <v>23634</v>
      </c>
      <c r="E4" s="1"/>
      <c r="G4" s="1">
        <f>18+420</f>
        <v>438</v>
      </c>
      <c r="H4" s="1">
        <f t="shared" ref="H4:H6" si="0">G4*C4</f>
        <v>5694</v>
      </c>
    </row>
    <row r="5" spans="1:8" x14ac:dyDescent="0.8">
      <c r="A5" s="1" t="s">
        <v>66</v>
      </c>
      <c r="B5" s="1">
        <f>ROUND(250/1.1,0)</f>
        <v>227</v>
      </c>
      <c r="C5" s="1">
        <v>35</v>
      </c>
      <c r="D5" s="2">
        <v>7000</v>
      </c>
      <c r="E5" s="1"/>
      <c r="G5" s="1">
        <f>18+103</f>
        <v>121</v>
      </c>
      <c r="H5" s="1">
        <f t="shared" si="0"/>
        <v>4235</v>
      </c>
    </row>
    <row r="6" spans="1:8" x14ac:dyDescent="0.8">
      <c r="A6" s="1" t="s">
        <v>67</v>
      </c>
      <c r="B6" s="1">
        <f>ROUND(220/1.1,0)</f>
        <v>200</v>
      </c>
      <c r="C6" s="1">
        <v>7</v>
      </c>
      <c r="D6" s="2">
        <v>1589</v>
      </c>
      <c r="E6" s="1"/>
      <c r="G6" s="1">
        <f>18+99</f>
        <v>117</v>
      </c>
      <c r="H6" s="1">
        <f t="shared" si="0"/>
        <v>819</v>
      </c>
    </row>
    <row r="7" spans="1:8" x14ac:dyDescent="0.8">
      <c r="A7" s="1" t="s">
        <v>33</v>
      </c>
      <c r="B7" s="10"/>
      <c r="C7" s="13">
        <f>SUM(C3:C6)</f>
        <v>94</v>
      </c>
      <c r="D7" s="2">
        <f>SUM(D3:D6)</f>
        <v>67674</v>
      </c>
      <c r="E7" s="1"/>
      <c r="G7" s="1"/>
      <c r="H7" s="2">
        <f>SUM(H3:H6)</f>
        <v>35630</v>
      </c>
    </row>
    <row r="9" spans="1:8" x14ac:dyDescent="0.8">
      <c r="A9" s="1" t="s">
        <v>2</v>
      </c>
      <c r="B9" s="1" t="s">
        <v>5</v>
      </c>
      <c r="C9" s="1" t="s">
        <v>3</v>
      </c>
      <c r="D9" s="1" t="s">
        <v>14</v>
      </c>
      <c r="E9" s="1" t="s">
        <v>32</v>
      </c>
    </row>
    <row r="10" spans="1:8" x14ac:dyDescent="0.8">
      <c r="A10" s="1"/>
      <c r="B10" s="2"/>
      <c r="C10" s="3"/>
      <c r="D10" s="2">
        <f>C10*B10</f>
        <v>0</v>
      </c>
      <c r="E10" s="1"/>
    </row>
    <row r="12" spans="1:8" x14ac:dyDescent="0.8">
      <c r="A12" s="1" t="s">
        <v>2</v>
      </c>
      <c r="B12" s="1" t="s">
        <v>5</v>
      </c>
      <c r="C12" s="1" t="s">
        <v>3</v>
      </c>
      <c r="D12" s="1" t="s">
        <v>14</v>
      </c>
      <c r="E12" s="1" t="s">
        <v>32</v>
      </c>
    </row>
    <row r="13" spans="1:8" x14ac:dyDescent="0.8">
      <c r="A13" s="1" t="s">
        <v>121</v>
      </c>
      <c r="B13" s="2">
        <v>18000</v>
      </c>
      <c r="C13" s="3">
        <v>9</v>
      </c>
      <c r="D13" s="2">
        <f>C13*B13</f>
        <v>162000</v>
      </c>
      <c r="E13" s="1"/>
    </row>
    <row r="14" spans="1:8" x14ac:dyDescent="0.8">
      <c r="A14" s="1" t="s">
        <v>63</v>
      </c>
      <c r="B14" s="2">
        <v>3900</v>
      </c>
      <c r="C14" s="3">
        <v>181</v>
      </c>
      <c r="D14" s="2">
        <f>C14*B14</f>
        <v>705900</v>
      </c>
      <c r="E14" s="1"/>
    </row>
    <row r="15" spans="1:8" x14ac:dyDescent="0.8">
      <c r="A15" s="1" t="s">
        <v>235</v>
      </c>
      <c r="B15" s="2">
        <v>2160</v>
      </c>
      <c r="C15" s="3">
        <v>12</v>
      </c>
      <c r="D15" s="2">
        <f t="shared" ref="D15:D19" si="1">C15*B15</f>
        <v>25920</v>
      </c>
      <c r="E15" s="1"/>
    </row>
    <row r="16" spans="1:8" x14ac:dyDescent="0.8">
      <c r="A16" s="1" t="s">
        <v>120</v>
      </c>
      <c r="B16" s="2">
        <v>2650</v>
      </c>
      <c r="C16" s="3">
        <v>30</v>
      </c>
      <c r="D16" s="2">
        <f t="shared" si="1"/>
        <v>79500</v>
      </c>
      <c r="E16" s="14" t="s">
        <v>231</v>
      </c>
    </row>
    <row r="17" spans="1:8" x14ac:dyDescent="0.8">
      <c r="A17" s="1" t="s">
        <v>120</v>
      </c>
      <c r="B17" s="2">
        <v>2440</v>
      </c>
      <c r="C17" s="3">
        <v>30</v>
      </c>
      <c r="D17" s="2">
        <f t="shared" si="1"/>
        <v>73200</v>
      </c>
      <c r="E17" s="14" t="s">
        <v>232</v>
      </c>
    </row>
    <row r="18" spans="1:8" ht="97.5" x14ac:dyDescent="0.8">
      <c r="A18" s="1" t="s">
        <v>58</v>
      </c>
      <c r="B18" s="2">
        <v>2880</v>
      </c>
      <c r="C18" s="3">
        <v>40</v>
      </c>
      <c r="D18" s="2">
        <f t="shared" si="1"/>
        <v>115200</v>
      </c>
      <c r="E18" s="14" t="s">
        <v>234</v>
      </c>
    </row>
    <row r="19" spans="1:8" ht="170.65" x14ac:dyDescent="0.8">
      <c r="A19" s="1" t="s">
        <v>58</v>
      </c>
      <c r="B19" s="2">
        <v>2640</v>
      </c>
      <c r="C19" s="3">
        <v>270</v>
      </c>
      <c r="D19" s="2">
        <f t="shared" si="1"/>
        <v>712800</v>
      </c>
      <c r="E19" s="14" t="s">
        <v>233</v>
      </c>
    </row>
    <row r="20" spans="1:8" x14ac:dyDescent="0.8">
      <c r="A20" s="1" t="s">
        <v>33</v>
      </c>
      <c r="B20" s="10"/>
      <c r="C20" s="13">
        <f>SUM(C13:C19)</f>
        <v>572</v>
      </c>
      <c r="D20" s="2">
        <f>SUM(D10:D19)</f>
        <v>1874520</v>
      </c>
      <c r="E20" s="1"/>
    </row>
    <row r="21" spans="1:8" x14ac:dyDescent="0.8">
      <c r="D21" s="5"/>
    </row>
    <row r="22" spans="1:8" x14ac:dyDescent="0.8">
      <c r="A22" s="1" t="s">
        <v>40</v>
      </c>
      <c r="B22" s="1" t="s">
        <v>119</v>
      </c>
      <c r="C22" s="1" t="s">
        <v>3</v>
      </c>
      <c r="D22" s="1" t="s">
        <v>14</v>
      </c>
      <c r="E22" s="1" t="s">
        <v>32</v>
      </c>
      <c r="H22" s="20"/>
    </row>
    <row r="23" spans="1:8" x14ac:dyDescent="0.8">
      <c r="A23" s="1" t="s">
        <v>91</v>
      </c>
      <c r="B23" s="1">
        <v>420</v>
      </c>
      <c r="C23" s="1">
        <v>21</v>
      </c>
      <c r="D23" s="2">
        <f t="shared" ref="D23:D24" si="2">C23*B23</f>
        <v>8820</v>
      </c>
      <c r="E23" s="1" t="s">
        <v>90</v>
      </c>
      <c r="H23" s="20"/>
    </row>
    <row r="24" spans="1:8" x14ac:dyDescent="0.8">
      <c r="A24" s="1" t="s">
        <v>118</v>
      </c>
      <c r="B24" s="2">
        <v>620</v>
      </c>
      <c r="C24" s="1">
        <v>2</v>
      </c>
      <c r="D24" s="2">
        <f t="shared" si="2"/>
        <v>1240</v>
      </c>
      <c r="E24" s="1"/>
      <c r="H24" s="20"/>
    </row>
    <row r="25" spans="1:8" x14ac:dyDescent="0.8">
      <c r="A25" s="1" t="s">
        <v>36</v>
      </c>
      <c r="B25" s="2">
        <f>ROUND(D25/C25,0)</f>
        <v>3978</v>
      </c>
      <c r="C25" s="1">
        <v>134</v>
      </c>
      <c r="D25" s="2">
        <v>533118</v>
      </c>
      <c r="E25" s="1" t="s">
        <v>230</v>
      </c>
    </row>
    <row r="26" spans="1:8" x14ac:dyDescent="0.8">
      <c r="A26" s="1" t="s">
        <v>37</v>
      </c>
      <c r="B26" s="10"/>
      <c r="C26" s="10"/>
      <c r="D26" s="2">
        <v>6637</v>
      </c>
      <c r="E26" s="1"/>
    </row>
    <row r="27" spans="1:8" x14ac:dyDescent="0.8">
      <c r="A27" s="1" t="s">
        <v>38</v>
      </c>
      <c r="B27" s="10"/>
      <c r="C27" s="10"/>
      <c r="D27" s="2">
        <v>98628</v>
      </c>
      <c r="E27" s="1"/>
    </row>
    <row r="28" spans="1:8" x14ac:dyDescent="0.8">
      <c r="A28" s="1" t="s">
        <v>77</v>
      </c>
      <c r="B28" s="10"/>
      <c r="C28" s="10"/>
      <c r="D28" s="2">
        <v>-52940</v>
      </c>
      <c r="E28" s="1"/>
    </row>
    <row r="29" spans="1:8" ht="73.150000000000006" x14ac:dyDescent="0.8">
      <c r="A29" s="1" t="s">
        <v>57</v>
      </c>
      <c r="B29" s="16"/>
      <c r="C29" s="16"/>
      <c r="D29" s="2">
        <v>94746</v>
      </c>
      <c r="E29" s="14" t="s">
        <v>89</v>
      </c>
    </row>
    <row r="30" spans="1:8" x14ac:dyDescent="0.8">
      <c r="A30" s="1" t="s">
        <v>16</v>
      </c>
      <c r="B30" s="1"/>
      <c r="C30" s="1"/>
      <c r="D30" s="2">
        <f>D25-D26-D27-D28-D29-D23-D24</f>
        <v>375987</v>
      </c>
      <c r="E30" s="1"/>
    </row>
    <row r="31" spans="1:8" x14ac:dyDescent="0.8">
      <c r="D31" s="5"/>
    </row>
    <row r="32" spans="1:8" x14ac:dyDescent="0.8">
      <c r="A32" s="1" t="s">
        <v>79</v>
      </c>
      <c r="B32" s="1" t="s">
        <v>5</v>
      </c>
      <c r="C32" s="1" t="s">
        <v>3</v>
      </c>
      <c r="D32" s="1" t="s">
        <v>14</v>
      </c>
      <c r="E32" s="1" t="s">
        <v>32</v>
      </c>
    </row>
    <row r="33" spans="1:5" x14ac:dyDescent="0.8">
      <c r="A33" s="1" t="s">
        <v>80</v>
      </c>
      <c r="B33" s="2">
        <v>3120</v>
      </c>
      <c r="C33" s="1">
        <v>0</v>
      </c>
      <c r="D33" s="2">
        <f>C33*B33</f>
        <v>0</v>
      </c>
      <c r="E33" s="1"/>
    </row>
    <row r="34" spans="1:5" x14ac:dyDescent="0.8">
      <c r="A34" s="1" t="s">
        <v>81</v>
      </c>
      <c r="B34" s="2">
        <v>0</v>
      </c>
      <c r="C34" s="1">
        <v>0</v>
      </c>
      <c r="D34" s="2">
        <f>C34*B34</f>
        <v>0</v>
      </c>
      <c r="E34" s="1"/>
    </row>
    <row r="35" spans="1:5" x14ac:dyDescent="0.8">
      <c r="A35" s="1" t="s">
        <v>82</v>
      </c>
      <c r="B35" s="2">
        <v>0</v>
      </c>
      <c r="C35" s="1">
        <v>0</v>
      </c>
      <c r="D35" s="2">
        <f>C35*B35</f>
        <v>0</v>
      </c>
      <c r="E35" s="1"/>
    </row>
    <row r="36" spans="1:5" x14ac:dyDescent="0.8">
      <c r="A36" s="1" t="s">
        <v>83</v>
      </c>
      <c r="B36" s="10"/>
      <c r="C36" s="10"/>
      <c r="D36" s="2">
        <f>D33-D34-D35</f>
        <v>0</v>
      </c>
      <c r="E36" s="1"/>
    </row>
    <row r="37" spans="1:5" x14ac:dyDescent="0.8">
      <c r="D37" s="5"/>
    </row>
    <row r="38" spans="1:5" x14ac:dyDescent="0.8">
      <c r="A38" s="4" t="s">
        <v>4</v>
      </c>
      <c r="B38" s="6"/>
      <c r="D38" s="6"/>
    </row>
    <row r="39" spans="1:5" x14ac:dyDescent="0.8">
      <c r="A39" s="1" t="s">
        <v>2</v>
      </c>
      <c r="B39" s="1" t="s">
        <v>5</v>
      </c>
      <c r="C39" s="1" t="s">
        <v>3</v>
      </c>
      <c r="D39" s="1" t="s">
        <v>14</v>
      </c>
      <c r="E39" s="1" t="s">
        <v>32</v>
      </c>
    </row>
    <row r="40" spans="1:5" x14ac:dyDescent="0.8">
      <c r="A40" s="1" t="s">
        <v>123</v>
      </c>
      <c r="B40" s="1">
        <v>1000</v>
      </c>
      <c r="C40" s="1">
        <v>47</v>
      </c>
      <c r="D40" s="2">
        <f>B40*C40</f>
        <v>47000</v>
      </c>
      <c r="E40" s="1"/>
    </row>
    <row r="41" spans="1:5" x14ac:dyDescent="0.8">
      <c r="A41" s="1" t="s">
        <v>235</v>
      </c>
      <c r="B41" s="1">
        <v>460</v>
      </c>
      <c r="C41" s="13">
        <f>C15</f>
        <v>12</v>
      </c>
      <c r="D41" s="2">
        <f>B41*C41</f>
        <v>5520</v>
      </c>
      <c r="E41" s="1"/>
    </row>
    <row r="42" spans="1:5" x14ac:dyDescent="0.8">
      <c r="A42" s="1" t="s">
        <v>122</v>
      </c>
      <c r="B42" s="1">
        <v>6500</v>
      </c>
      <c r="C42" s="13">
        <f>C13</f>
        <v>9</v>
      </c>
      <c r="D42" s="2">
        <f>B42*C42</f>
        <v>58500</v>
      </c>
      <c r="E42" s="1"/>
    </row>
    <row r="43" spans="1:5" x14ac:dyDescent="0.8">
      <c r="A43" s="1" t="s">
        <v>9</v>
      </c>
      <c r="B43" s="2">
        <v>1260</v>
      </c>
      <c r="C43" s="3">
        <f>C20+C25+C33-C13-C15</f>
        <v>685</v>
      </c>
      <c r="D43" s="2">
        <f>B43*C43</f>
        <v>863100</v>
      </c>
      <c r="E43" s="1"/>
    </row>
    <row r="44" spans="1:5" x14ac:dyDescent="0.8">
      <c r="A44" s="1" t="s">
        <v>68</v>
      </c>
      <c r="B44" s="2">
        <f>ROUND(D44/C44,0)</f>
        <v>379</v>
      </c>
      <c r="C44" s="3">
        <f>C7</f>
        <v>94</v>
      </c>
      <c r="D44" s="2">
        <f>H7</f>
        <v>35630</v>
      </c>
      <c r="E44" s="1"/>
    </row>
    <row r="45" spans="1:5" x14ac:dyDescent="0.8">
      <c r="A45" s="1" t="s">
        <v>6</v>
      </c>
      <c r="B45" s="2">
        <v>100</v>
      </c>
      <c r="C45" s="3">
        <f>C20+C25+C33-E45</f>
        <v>634</v>
      </c>
      <c r="D45" s="2">
        <f>B45*C45</f>
        <v>63400</v>
      </c>
      <c r="E45" s="21">
        <v>72</v>
      </c>
    </row>
    <row r="46" spans="1:5" x14ac:dyDescent="0.8">
      <c r="A46" s="1" t="s">
        <v>7</v>
      </c>
      <c r="B46" s="2">
        <f>ROUND(150/1.1,0)</f>
        <v>136</v>
      </c>
      <c r="C46" s="3">
        <f>C20-E46</f>
        <v>551</v>
      </c>
      <c r="D46" s="2">
        <f>B46*C46</f>
        <v>74936</v>
      </c>
      <c r="E46" s="23">
        <v>21</v>
      </c>
    </row>
    <row r="47" spans="1:5" x14ac:dyDescent="0.8">
      <c r="A47" s="14" t="s">
        <v>35</v>
      </c>
      <c r="B47" s="10"/>
      <c r="C47" s="11"/>
      <c r="D47" s="2">
        <f>ROUND((D7+D14+D13)*0.0373,0)</f>
        <v>34897</v>
      </c>
      <c r="E47" s="22">
        <v>-3.73E-2</v>
      </c>
    </row>
    <row r="48" spans="1:5" x14ac:dyDescent="0.8">
      <c r="A48" s="14" t="s">
        <v>124</v>
      </c>
      <c r="B48" s="1">
        <v>500</v>
      </c>
      <c r="C48" s="1">
        <v>0</v>
      </c>
      <c r="D48" s="2">
        <f>B48*C48</f>
        <v>0</v>
      </c>
      <c r="E48" s="22"/>
    </row>
    <row r="49" spans="1:5" x14ac:dyDescent="0.8">
      <c r="A49" s="1" t="s">
        <v>34</v>
      </c>
      <c r="B49" s="12"/>
      <c r="C49" s="12"/>
      <c r="D49" s="2">
        <f>SUM(D40:D48)</f>
        <v>1182983</v>
      </c>
      <c r="E49" s="1"/>
    </row>
    <row r="50" spans="1:5" x14ac:dyDescent="0.8">
      <c r="D50" s="5"/>
    </row>
    <row r="51" spans="1:5" x14ac:dyDescent="0.8">
      <c r="A51" s="1" t="s">
        <v>2</v>
      </c>
      <c r="B51" s="1" t="s">
        <v>8</v>
      </c>
    </row>
    <row r="52" spans="1:5" x14ac:dyDescent="0.8">
      <c r="A52" s="1" t="s">
        <v>10</v>
      </c>
      <c r="B52" s="7">
        <f>D20+D7+D52+D53+D54</f>
        <v>2059088</v>
      </c>
      <c r="D52" s="24">
        <v>34456</v>
      </c>
      <c r="E52" s="4" t="s">
        <v>236</v>
      </c>
    </row>
    <row r="53" spans="1:5" x14ac:dyDescent="0.8">
      <c r="A53" s="1" t="s">
        <v>11</v>
      </c>
      <c r="B53" s="7">
        <f>D49</f>
        <v>1182983</v>
      </c>
      <c r="D53" s="24">
        <v>36020</v>
      </c>
      <c r="E53" s="4" t="s">
        <v>237</v>
      </c>
    </row>
    <row r="54" spans="1:5" x14ac:dyDescent="0.8">
      <c r="A54" s="1" t="s">
        <v>39</v>
      </c>
      <c r="B54" s="7">
        <f>D30</f>
        <v>375987</v>
      </c>
      <c r="D54" s="24">
        <v>46418</v>
      </c>
      <c r="E54" s="4" t="s">
        <v>238</v>
      </c>
    </row>
    <row r="55" spans="1:5" x14ac:dyDescent="0.8">
      <c r="A55" s="1" t="s">
        <v>84</v>
      </c>
      <c r="B55" s="7">
        <f>D36</f>
        <v>0</v>
      </c>
    </row>
    <row r="56" spans="1:5" x14ac:dyDescent="0.8">
      <c r="A56" s="1" t="s">
        <v>0</v>
      </c>
      <c r="B56" s="7">
        <f>B52-B53+B54+B55</f>
        <v>1252092</v>
      </c>
    </row>
    <row r="57" spans="1:5" x14ac:dyDescent="0.8">
      <c r="A57" s="25" t="s">
        <v>1</v>
      </c>
      <c r="B57" s="26">
        <f>ROUND(B56*0.6,0)</f>
        <v>751255</v>
      </c>
    </row>
    <row r="58" spans="1:5" x14ac:dyDescent="0.8">
      <c r="A58" s="1" t="s">
        <v>12</v>
      </c>
      <c r="B58" s="2">
        <f>B56*0.4</f>
        <v>500836.80000000005</v>
      </c>
    </row>
    <row r="60" spans="1:5" x14ac:dyDescent="0.8">
      <c r="A60" s="4" t="s">
        <v>15</v>
      </c>
    </row>
  </sheetData>
  <phoneticPr fontId="1"/>
  <pageMargins left="0.25" right="0.25" top="0.75" bottom="0.75" header="0.3" footer="0.3"/>
  <pageSetup paperSize="9" scale="64" orientation="portrait" horizontalDpi="360" verticalDpi="360" r:id="rId1"/>
  <headerFooter>
    <oddHeader>&amp;F</oddHeader>
  </headerFooter>
  <rowBreaks count="1" manualBreakCount="1">
    <brk id="3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M129"/>
  <sheetViews>
    <sheetView workbookViewId="0">
      <pane xSplit="8640" ySplit="840" topLeftCell="G113" activePane="bottomRight"/>
      <selection activeCell="E1" sqref="E1"/>
      <selection pane="topRight" activeCell="K1" sqref="K1:M73"/>
      <selection pane="bottomLeft" activeCell="E43" sqref="E43"/>
      <selection pane="bottomRight" activeCell="J123" sqref="J123"/>
    </sheetView>
  </sheetViews>
  <sheetFormatPr defaultColWidth="10.6640625" defaultRowHeight="19.899999999999999" x14ac:dyDescent="0.8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3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5" t="s">
        <v>59</v>
      </c>
      <c r="L1" t="s">
        <v>85</v>
      </c>
      <c r="M1" t="s">
        <v>86</v>
      </c>
    </row>
    <row r="2" spans="1:13" x14ac:dyDescent="0.8">
      <c r="A2" s="9">
        <v>46022</v>
      </c>
      <c r="B2" t="s">
        <v>41</v>
      </c>
      <c r="C2" t="s">
        <v>42</v>
      </c>
      <c r="D2" t="s">
        <v>139</v>
      </c>
      <c r="E2" t="s">
        <v>78</v>
      </c>
      <c r="F2">
        <v>4527</v>
      </c>
      <c r="G2">
        <v>0</v>
      </c>
      <c r="H2">
        <v>-1248</v>
      </c>
      <c r="I2">
        <v>403</v>
      </c>
      <c r="J2">
        <v>3682</v>
      </c>
      <c r="K2">
        <v>1</v>
      </c>
    </row>
    <row r="3" spans="1:13" x14ac:dyDescent="0.8">
      <c r="A3" s="9">
        <v>46022</v>
      </c>
      <c r="B3" t="s">
        <v>41</v>
      </c>
      <c r="C3" t="s">
        <v>42</v>
      </c>
      <c r="D3" t="s">
        <v>140</v>
      </c>
      <c r="E3" t="s">
        <v>78</v>
      </c>
      <c r="F3">
        <v>4527</v>
      </c>
      <c r="G3">
        <v>0</v>
      </c>
      <c r="H3">
        <v>-1248</v>
      </c>
      <c r="I3">
        <v>403</v>
      </c>
      <c r="J3">
        <v>3682</v>
      </c>
      <c r="K3">
        <v>1</v>
      </c>
    </row>
    <row r="4" spans="1:13" x14ac:dyDescent="0.8">
      <c r="A4" s="9">
        <v>46022</v>
      </c>
      <c r="B4" t="s">
        <v>41</v>
      </c>
      <c r="C4" t="s">
        <v>42</v>
      </c>
      <c r="D4" t="s">
        <v>141</v>
      </c>
      <c r="E4" t="s">
        <v>78</v>
      </c>
      <c r="F4">
        <v>4527</v>
      </c>
      <c r="G4">
        <v>-91</v>
      </c>
      <c r="H4">
        <v>-1248</v>
      </c>
      <c r="I4">
        <v>494</v>
      </c>
      <c r="J4">
        <v>3682</v>
      </c>
      <c r="K4">
        <v>1</v>
      </c>
    </row>
    <row r="5" spans="1:13" x14ac:dyDescent="0.8">
      <c r="A5" s="9">
        <v>46022</v>
      </c>
      <c r="B5" t="s">
        <v>41</v>
      </c>
      <c r="C5" t="s">
        <v>42</v>
      </c>
      <c r="D5" t="s">
        <v>142</v>
      </c>
      <c r="E5" t="s">
        <v>78</v>
      </c>
      <c r="F5">
        <v>4527</v>
      </c>
      <c r="G5">
        <v>-418</v>
      </c>
      <c r="H5">
        <v>-1248</v>
      </c>
      <c r="I5">
        <v>821</v>
      </c>
      <c r="J5">
        <v>3682</v>
      </c>
      <c r="K5">
        <v>1</v>
      </c>
    </row>
    <row r="6" spans="1:13" x14ac:dyDescent="0.8">
      <c r="A6" s="9">
        <v>46022</v>
      </c>
      <c r="B6" t="s">
        <v>41</v>
      </c>
      <c r="C6" t="s">
        <v>42</v>
      </c>
      <c r="D6" t="s">
        <v>143</v>
      </c>
      <c r="E6" t="s">
        <v>78</v>
      </c>
      <c r="F6">
        <v>4527</v>
      </c>
      <c r="G6">
        <v>-91</v>
      </c>
      <c r="H6">
        <v>-1248</v>
      </c>
      <c r="I6">
        <v>494</v>
      </c>
      <c r="J6">
        <v>3682</v>
      </c>
      <c r="K6">
        <v>1</v>
      </c>
    </row>
    <row r="7" spans="1:13" x14ac:dyDescent="0.8">
      <c r="A7" s="9">
        <v>46021</v>
      </c>
      <c r="B7" t="s">
        <v>41</v>
      </c>
      <c r="C7" t="s">
        <v>42</v>
      </c>
      <c r="D7" t="s">
        <v>144</v>
      </c>
      <c r="E7" t="s">
        <v>78</v>
      </c>
      <c r="F7">
        <v>4527</v>
      </c>
      <c r="G7">
        <v>0</v>
      </c>
      <c r="H7">
        <v>-1248</v>
      </c>
      <c r="I7">
        <v>403</v>
      </c>
      <c r="J7">
        <v>3682</v>
      </c>
      <c r="K7">
        <v>1</v>
      </c>
    </row>
    <row r="8" spans="1:13" x14ac:dyDescent="0.8">
      <c r="A8" s="9">
        <v>46021</v>
      </c>
      <c r="B8" t="s">
        <v>41</v>
      </c>
      <c r="C8" t="s">
        <v>42</v>
      </c>
      <c r="D8" t="s">
        <v>145</v>
      </c>
      <c r="E8" t="s">
        <v>78</v>
      </c>
      <c r="F8">
        <v>4527</v>
      </c>
      <c r="G8">
        <v>0</v>
      </c>
      <c r="H8">
        <v>-1248</v>
      </c>
      <c r="I8">
        <v>403</v>
      </c>
      <c r="J8">
        <v>3682</v>
      </c>
      <c r="K8">
        <v>1</v>
      </c>
    </row>
    <row r="9" spans="1:13" x14ac:dyDescent="0.8">
      <c r="A9" s="9">
        <v>46021</v>
      </c>
      <c r="B9" t="s">
        <v>41</v>
      </c>
      <c r="C9" t="s">
        <v>42</v>
      </c>
      <c r="D9" t="s">
        <v>146</v>
      </c>
      <c r="E9" t="s">
        <v>78</v>
      </c>
      <c r="F9">
        <v>4527</v>
      </c>
      <c r="G9">
        <v>0</v>
      </c>
      <c r="H9">
        <v>-1248</v>
      </c>
      <c r="I9">
        <v>403</v>
      </c>
      <c r="J9">
        <v>3682</v>
      </c>
      <c r="K9">
        <v>1</v>
      </c>
    </row>
    <row r="10" spans="1:13" x14ac:dyDescent="0.8">
      <c r="A10" s="9">
        <v>46021</v>
      </c>
      <c r="B10" t="s">
        <v>41</v>
      </c>
      <c r="C10" t="s">
        <v>42</v>
      </c>
      <c r="D10" t="s">
        <v>147</v>
      </c>
      <c r="E10" t="s">
        <v>78</v>
      </c>
      <c r="F10">
        <v>4527</v>
      </c>
      <c r="G10">
        <v>0</v>
      </c>
      <c r="H10">
        <v>-1248</v>
      </c>
      <c r="I10">
        <v>403</v>
      </c>
      <c r="J10">
        <v>3682</v>
      </c>
      <c r="K10">
        <v>1</v>
      </c>
    </row>
    <row r="11" spans="1:13" x14ac:dyDescent="0.8">
      <c r="A11" s="9">
        <v>46021</v>
      </c>
      <c r="B11" t="s">
        <v>41</v>
      </c>
      <c r="C11" t="s">
        <v>42</v>
      </c>
      <c r="D11" t="s">
        <v>148</v>
      </c>
      <c r="E11" t="s">
        <v>78</v>
      </c>
      <c r="F11">
        <v>4527</v>
      </c>
      <c r="G11">
        <v>0</v>
      </c>
      <c r="H11">
        <v>-1248</v>
      </c>
      <c r="I11">
        <v>403</v>
      </c>
      <c r="J11">
        <v>3682</v>
      </c>
      <c r="K11">
        <v>1</v>
      </c>
    </row>
    <row r="12" spans="1:13" x14ac:dyDescent="0.8">
      <c r="A12" s="9">
        <v>46020</v>
      </c>
      <c r="B12" t="s">
        <v>41</v>
      </c>
      <c r="C12" t="s">
        <v>42</v>
      </c>
      <c r="D12" t="s">
        <v>149</v>
      </c>
      <c r="E12" t="s">
        <v>78</v>
      </c>
      <c r="F12">
        <v>4527</v>
      </c>
      <c r="G12">
        <v>0</v>
      </c>
      <c r="H12">
        <v>-1602</v>
      </c>
      <c r="I12">
        <v>757</v>
      </c>
      <c r="J12">
        <v>3682</v>
      </c>
      <c r="K12">
        <v>1</v>
      </c>
    </row>
    <row r="13" spans="1:13" x14ac:dyDescent="0.8">
      <c r="A13" s="9">
        <v>46020</v>
      </c>
      <c r="B13" t="s">
        <v>41</v>
      </c>
      <c r="C13" t="s">
        <v>42</v>
      </c>
      <c r="D13" t="s">
        <v>150</v>
      </c>
      <c r="E13" t="s">
        <v>78</v>
      </c>
      <c r="F13">
        <v>4527</v>
      </c>
      <c r="G13">
        <v>0</v>
      </c>
      <c r="H13">
        <v>-1248</v>
      </c>
      <c r="I13">
        <v>403</v>
      </c>
      <c r="J13">
        <v>3682</v>
      </c>
      <c r="K13">
        <v>1</v>
      </c>
    </row>
    <row r="14" spans="1:13" x14ac:dyDescent="0.8">
      <c r="A14" s="9">
        <v>46020</v>
      </c>
      <c r="B14" t="s">
        <v>41</v>
      </c>
      <c r="C14" t="s">
        <v>42</v>
      </c>
      <c r="D14" t="s">
        <v>151</v>
      </c>
      <c r="E14" t="s">
        <v>78</v>
      </c>
      <c r="F14">
        <v>4527</v>
      </c>
      <c r="G14">
        <v>-418</v>
      </c>
      <c r="H14">
        <v>-1248</v>
      </c>
      <c r="I14">
        <v>821</v>
      </c>
      <c r="J14">
        <v>3682</v>
      </c>
      <c r="K14">
        <v>1</v>
      </c>
    </row>
    <row r="15" spans="1:13" x14ac:dyDescent="0.8">
      <c r="A15" s="9">
        <v>46020</v>
      </c>
      <c r="B15" t="s">
        <v>41</v>
      </c>
      <c r="C15" t="s">
        <v>42</v>
      </c>
      <c r="D15" t="s">
        <v>152</v>
      </c>
      <c r="E15" t="s">
        <v>78</v>
      </c>
      <c r="F15">
        <v>4527</v>
      </c>
      <c r="G15">
        <v>0</v>
      </c>
      <c r="H15">
        <v>-1248</v>
      </c>
      <c r="I15">
        <v>403</v>
      </c>
      <c r="J15">
        <v>3682</v>
      </c>
      <c r="K15">
        <v>1</v>
      </c>
    </row>
    <row r="16" spans="1:13" x14ac:dyDescent="0.8">
      <c r="A16" s="9">
        <v>46019</v>
      </c>
      <c r="B16" t="s">
        <v>41</v>
      </c>
      <c r="C16" t="s">
        <v>42</v>
      </c>
      <c r="D16" t="s">
        <v>153</v>
      </c>
      <c r="E16" t="s">
        <v>78</v>
      </c>
      <c r="F16">
        <v>4527</v>
      </c>
      <c r="G16">
        <v>-182</v>
      </c>
      <c r="H16">
        <v>-1248</v>
      </c>
      <c r="I16">
        <v>585</v>
      </c>
      <c r="J16">
        <v>3682</v>
      </c>
      <c r="K16">
        <v>1</v>
      </c>
    </row>
    <row r="17" spans="1:12" x14ac:dyDescent="0.8">
      <c r="A17" s="9">
        <v>46019</v>
      </c>
      <c r="B17" t="s">
        <v>41</v>
      </c>
      <c r="C17" t="s">
        <v>42</v>
      </c>
      <c r="D17" t="s">
        <v>154</v>
      </c>
      <c r="E17" t="s">
        <v>78</v>
      </c>
      <c r="F17">
        <v>4527</v>
      </c>
      <c r="G17">
        <v>0</v>
      </c>
      <c r="H17">
        <v>-1248</v>
      </c>
      <c r="I17">
        <v>403</v>
      </c>
      <c r="J17">
        <v>3682</v>
      </c>
      <c r="K17">
        <v>1</v>
      </c>
    </row>
    <row r="18" spans="1:12" x14ac:dyDescent="0.8">
      <c r="A18" s="9">
        <v>46019</v>
      </c>
      <c r="B18" t="s">
        <v>41</v>
      </c>
      <c r="C18" t="s">
        <v>42</v>
      </c>
      <c r="D18" t="s">
        <v>155</v>
      </c>
      <c r="E18" t="s">
        <v>78</v>
      </c>
      <c r="F18">
        <v>4527</v>
      </c>
      <c r="G18">
        <v>0</v>
      </c>
      <c r="H18">
        <v>-1248</v>
      </c>
      <c r="I18">
        <v>403</v>
      </c>
      <c r="J18">
        <v>3682</v>
      </c>
      <c r="K18">
        <v>1</v>
      </c>
    </row>
    <row r="19" spans="1:12" x14ac:dyDescent="0.8">
      <c r="A19" s="9">
        <v>46019</v>
      </c>
      <c r="B19" t="s">
        <v>41</v>
      </c>
      <c r="C19" t="s">
        <v>42</v>
      </c>
      <c r="D19" t="s">
        <v>156</v>
      </c>
      <c r="E19" t="s">
        <v>78</v>
      </c>
      <c r="F19">
        <v>4527</v>
      </c>
      <c r="G19">
        <v>0</v>
      </c>
      <c r="H19">
        <v>-1248</v>
      </c>
      <c r="I19">
        <v>403</v>
      </c>
      <c r="J19">
        <v>3682</v>
      </c>
      <c r="K19">
        <v>1</v>
      </c>
    </row>
    <row r="20" spans="1:12" x14ac:dyDescent="0.8">
      <c r="A20" s="9">
        <v>46019</v>
      </c>
      <c r="B20" t="s">
        <v>41</v>
      </c>
      <c r="C20" t="s">
        <v>42</v>
      </c>
      <c r="D20" t="s">
        <v>157</v>
      </c>
      <c r="E20" t="s">
        <v>78</v>
      </c>
      <c r="F20">
        <v>4527</v>
      </c>
      <c r="G20">
        <v>-418</v>
      </c>
      <c r="H20">
        <v>-1248</v>
      </c>
      <c r="I20">
        <v>821</v>
      </c>
      <c r="J20">
        <v>3682</v>
      </c>
      <c r="K20">
        <v>1</v>
      </c>
    </row>
    <row r="21" spans="1:12" x14ac:dyDescent="0.8">
      <c r="A21" s="9">
        <v>46018</v>
      </c>
      <c r="B21" t="s">
        <v>41</v>
      </c>
      <c r="C21" t="s">
        <v>42</v>
      </c>
      <c r="D21" t="s">
        <v>158</v>
      </c>
      <c r="E21" t="s">
        <v>78</v>
      </c>
      <c r="F21">
        <v>4527</v>
      </c>
      <c r="G21">
        <v>0</v>
      </c>
      <c r="H21">
        <v>-1248</v>
      </c>
      <c r="I21">
        <v>403</v>
      </c>
      <c r="J21">
        <v>3682</v>
      </c>
      <c r="K21">
        <v>1</v>
      </c>
    </row>
    <row r="22" spans="1:12" x14ac:dyDescent="0.8">
      <c r="A22" s="9">
        <v>46018</v>
      </c>
      <c r="B22" t="s">
        <v>41</v>
      </c>
      <c r="C22" t="s">
        <v>42</v>
      </c>
      <c r="D22" t="s">
        <v>159</v>
      </c>
      <c r="E22" t="s">
        <v>78</v>
      </c>
      <c r="F22">
        <v>4527</v>
      </c>
      <c r="G22">
        <v>0</v>
      </c>
      <c r="H22">
        <v>-1248</v>
      </c>
      <c r="I22">
        <v>403</v>
      </c>
      <c r="J22">
        <v>3682</v>
      </c>
      <c r="K22">
        <v>1</v>
      </c>
    </row>
    <row r="23" spans="1:12" x14ac:dyDescent="0.8">
      <c r="A23" s="9">
        <v>46018</v>
      </c>
      <c r="B23" t="s">
        <v>41</v>
      </c>
      <c r="C23" t="s">
        <v>42</v>
      </c>
      <c r="D23" t="s">
        <v>160</v>
      </c>
      <c r="E23" t="s">
        <v>78</v>
      </c>
      <c r="F23">
        <v>4527</v>
      </c>
      <c r="G23">
        <v>0</v>
      </c>
      <c r="H23">
        <v>-1248</v>
      </c>
      <c r="I23">
        <v>403</v>
      </c>
      <c r="J23">
        <v>3682</v>
      </c>
      <c r="K23">
        <v>1</v>
      </c>
    </row>
    <row r="24" spans="1:12" x14ac:dyDescent="0.8">
      <c r="A24" s="9">
        <v>46017</v>
      </c>
      <c r="B24" t="s">
        <v>41</v>
      </c>
      <c r="C24" t="s">
        <v>42</v>
      </c>
      <c r="D24" t="s">
        <v>161</v>
      </c>
      <c r="E24" t="s">
        <v>78</v>
      </c>
      <c r="F24">
        <v>4527</v>
      </c>
      <c r="G24">
        <v>-418</v>
      </c>
      <c r="H24">
        <v>-1248</v>
      </c>
      <c r="I24">
        <v>821</v>
      </c>
      <c r="J24">
        <v>3682</v>
      </c>
      <c r="K24">
        <v>1</v>
      </c>
    </row>
    <row r="25" spans="1:12" x14ac:dyDescent="0.8">
      <c r="A25" s="9">
        <v>46017</v>
      </c>
      <c r="B25" t="s">
        <v>41</v>
      </c>
      <c r="C25" t="s">
        <v>42</v>
      </c>
      <c r="D25" t="s">
        <v>162</v>
      </c>
      <c r="E25" t="s">
        <v>78</v>
      </c>
      <c r="F25">
        <v>4527</v>
      </c>
      <c r="G25">
        <v>0</v>
      </c>
      <c r="H25">
        <v>-1405</v>
      </c>
      <c r="I25">
        <v>560</v>
      </c>
      <c r="J25">
        <v>3682</v>
      </c>
      <c r="K25">
        <v>1</v>
      </c>
    </row>
    <row r="26" spans="1:12" x14ac:dyDescent="0.8">
      <c r="A26" s="9">
        <v>46016</v>
      </c>
      <c r="B26" t="s">
        <v>41</v>
      </c>
      <c r="C26" t="s">
        <v>42</v>
      </c>
      <c r="D26" t="s">
        <v>163</v>
      </c>
      <c r="E26" t="s">
        <v>78</v>
      </c>
      <c r="F26">
        <v>4527</v>
      </c>
      <c r="G26">
        <v>0</v>
      </c>
      <c r="H26">
        <v>-1602</v>
      </c>
      <c r="I26">
        <v>757</v>
      </c>
      <c r="J26">
        <v>3682</v>
      </c>
      <c r="K26">
        <v>1</v>
      </c>
    </row>
    <row r="27" spans="1:12" x14ac:dyDescent="0.8">
      <c r="A27" s="9">
        <v>46016</v>
      </c>
      <c r="B27" t="s">
        <v>41</v>
      </c>
      <c r="C27" t="s">
        <v>42</v>
      </c>
      <c r="D27" t="s">
        <v>164</v>
      </c>
      <c r="E27" t="s">
        <v>78</v>
      </c>
      <c r="F27">
        <v>4527</v>
      </c>
      <c r="G27">
        <v>0</v>
      </c>
      <c r="H27">
        <v>-1248</v>
      </c>
      <c r="I27">
        <v>403</v>
      </c>
      <c r="J27">
        <v>3682</v>
      </c>
      <c r="K27">
        <v>1</v>
      </c>
    </row>
    <row r="28" spans="1:12" x14ac:dyDescent="0.8">
      <c r="A28" s="9">
        <v>46016</v>
      </c>
      <c r="B28" t="s">
        <v>41</v>
      </c>
      <c r="C28" t="s">
        <v>42</v>
      </c>
      <c r="D28" t="s">
        <v>165</v>
      </c>
      <c r="E28" t="s">
        <v>78</v>
      </c>
      <c r="F28">
        <v>4527</v>
      </c>
      <c r="G28">
        <v>0</v>
      </c>
      <c r="H28">
        <v>-1248</v>
      </c>
      <c r="I28">
        <v>403</v>
      </c>
      <c r="J28">
        <v>3682</v>
      </c>
      <c r="K28">
        <v>1</v>
      </c>
    </row>
    <row r="29" spans="1:12" x14ac:dyDescent="0.8">
      <c r="A29" s="9">
        <v>46016</v>
      </c>
      <c r="B29" t="s">
        <v>41</v>
      </c>
      <c r="C29" t="s">
        <v>42</v>
      </c>
      <c r="D29" t="s">
        <v>166</v>
      </c>
      <c r="E29" t="s">
        <v>78</v>
      </c>
      <c r="F29">
        <v>8149</v>
      </c>
      <c r="G29">
        <v>0</v>
      </c>
      <c r="H29">
        <v>-1516</v>
      </c>
      <c r="I29">
        <v>815</v>
      </c>
      <c r="J29">
        <v>7448</v>
      </c>
      <c r="K29">
        <v>2</v>
      </c>
    </row>
    <row r="30" spans="1:12" x14ac:dyDescent="0.8">
      <c r="A30" s="9">
        <v>46016</v>
      </c>
      <c r="B30" t="s">
        <v>41</v>
      </c>
      <c r="C30" t="s">
        <v>42</v>
      </c>
      <c r="D30" t="s">
        <v>167</v>
      </c>
      <c r="E30" t="s">
        <v>78</v>
      </c>
      <c r="F30">
        <v>4527</v>
      </c>
      <c r="G30">
        <v>0</v>
      </c>
      <c r="H30">
        <v>-434</v>
      </c>
      <c r="I30">
        <v>403</v>
      </c>
      <c r="J30">
        <v>4496</v>
      </c>
      <c r="K30">
        <v>1</v>
      </c>
    </row>
    <row r="31" spans="1:12" x14ac:dyDescent="0.8">
      <c r="A31" s="9">
        <v>46015</v>
      </c>
      <c r="B31" t="s">
        <v>41</v>
      </c>
      <c r="C31" t="s">
        <v>42</v>
      </c>
      <c r="D31" t="s">
        <v>168</v>
      </c>
      <c r="E31" t="s">
        <v>78</v>
      </c>
      <c r="F31">
        <v>5436</v>
      </c>
      <c r="G31">
        <v>0</v>
      </c>
      <c r="H31">
        <v>-455</v>
      </c>
      <c r="I31">
        <v>484</v>
      </c>
      <c r="J31">
        <v>5465</v>
      </c>
      <c r="K31">
        <v>0</v>
      </c>
      <c r="L31">
        <v>1</v>
      </c>
    </row>
    <row r="32" spans="1:12" x14ac:dyDescent="0.8">
      <c r="A32" s="9">
        <v>46015</v>
      </c>
      <c r="B32" t="s">
        <v>41</v>
      </c>
      <c r="C32" t="s">
        <v>42</v>
      </c>
      <c r="D32" t="s">
        <v>169</v>
      </c>
      <c r="E32" t="s">
        <v>78</v>
      </c>
      <c r="F32">
        <v>4527</v>
      </c>
      <c r="G32">
        <v>0</v>
      </c>
      <c r="H32">
        <v>-434</v>
      </c>
      <c r="I32">
        <v>403</v>
      </c>
      <c r="J32">
        <v>4496</v>
      </c>
      <c r="K32">
        <v>1</v>
      </c>
    </row>
    <row r="33" spans="1:12" x14ac:dyDescent="0.8">
      <c r="A33" s="9">
        <v>46015</v>
      </c>
      <c r="B33" t="s">
        <v>41</v>
      </c>
      <c r="C33" t="s">
        <v>42</v>
      </c>
      <c r="D33" t="s">
        <v>170</v>
      </c>
      <c r="E33" t="s">
        <v>78</v>
      </c>
      <c r="F33">
        <v>5436</v>
      </c>
      <c r="G33">
        <v>0</v>
      </c>
      <c r="H33">
        <v>-455</v>
      </c>
      <c r="I33">
        <v>484</v>
      </c>
      <c r="J33">
        <v>5465</v>
      </c>
      <c r="K33">
        <v>0</v>
      </c>
      <c r="L33">
        <v>1</v>
      </c>
    </row>
    <row r="34" spans="1:12" x14ac:dyDescent="0.8">
      <c r="A34" s="9">
        <v>46015</v>
      </c>
      <c r="B34" t="s">
        <v>41</v>
      </c>
      <c r="C34" t="s">
        <v>42</v>
      </c>
      <c r="D34" t="s">
        <v>171</v>
      </c>
      <c r="E34" t="s">
        <v>78</v>
      </c>
      <c r="F34">
        <v>4527</v>
      </c>
      <c r="G34">
        <v>0</v>
      </c>
      <c r="H34">
        <v>-434</v>
      </c>
      <c r="I34">
        <v>403</v>
      </c>
      <c r="J34">
        <v>4496</v>
      </c>
      <c r="K34">
        <v>1</v>
      </c>
    </row>
    <row r="35" spans="1:12" x14ac:dyDescent="0.8">
      <c r="A35" s="9">
        <v>46014</v>
      </c>
      <c r="B35" t="s">
        <v>41</v>
      </c>
      <c r="C35" t="s">
        <v>42</v>
      </c>
      <c r="D35" t="s">
        <v>172</v>
      </c>
      <c r="E35" t="s">
        <v>78</v>
      </c>
      <c r="F35">
        <v>5436</v>
      </c>
      <c r="G35">
        <v>-680</v>
      </c>
      <c r="H35">
        <v>-455</v>
      </c>
      <c r="I35">
        <v>620</v>
      </c>
      <c r="J35">
        <v>4921</v>
      </c>
      <c r="K35">
        <v>0</v>
      </c>
      <c r="L35">
        <v>1</v>
      </c>
    </row>
    <row r="36" spans="1:12" x14ac:dyDescent="0.8">
      <c r="A36" s="9">
        <v>46014</v>
      </c>
      <c r="B36" t="s">
        <v>41</v>
      </c>
      <c r="C36" t="s">
        <v>42</v>
      </c>
      <c r="D36" t="s">
        <v>173</v>
      </c>
      <c r="E36" t="s">
        <v>78</v>
      </c>
      <c r="F36">
        <v>4527</v>
      </c>
      <c r="G36">
        <v>0</v>
      </c>
      <c r="H36">
        <v>-434</v>
      </c>
      <c r="I36">
        <v>403</v>
      </c>
      <c r="J36">
        <v>4496</v>
      </c>
      <c r="K36">
        <v>1</v>
      </c>
    </row>
    <row r="37" spans="1:12" x14ac:dyDescent="0.8">
      <c r="A37" s="9">
        <v>46014</v>
      </c>
      <c r="B37" t="s">
        <v>41</v>
      </c>
      <c r="C37" t="s">
        <v>42</v>
      </c>
      <c r="D37" t="s">
        <v>174</v>
      </c>
      <c r="E37" t="s">
        <v>78</v>
      </c>
      <c r="F37">
        <v>5436</v>
      </c>
      <c r="G37">
        <v>0</v>
      </c>
      <c r="H37">
        <v>-455</v>
      </c>
      <c r="I37">
        <v>484</v>
      </c>
      <c r="J37">
        <v>5465</v>
      </c>
      <c r="K37">
        <v>0</v>
      </c>
      <c r="L37">
        <v>1</v>
      </c>
    </row>
    <row r="38" spans="1:12" x14ac:dyDescent="0.8">
      <c r="A38" s="9">
        <v>46014</v>
      </c>
      <c r="B38" t="s">
        <v>41</v>
      </c>
      <c r="C38" t="s">
        <v>42</v>
      </c>
      <c r="D38" t="s">
        <v>175</v>
      </c>
      <c r="E38" t="s">
        <v>78</v>
      </c>
      <c r="F38">
        <v>4527</v>
      </c>
      <c r="G38">
        <v>0</v>
      </c>
      <c r="H38">
        <v>-434</v>
      </c>
      <c r="I38">
        <v>403</v>
      </c>
      <c r="J38">
        <v>4496</v>
      </c>
      <c r="K38">
        <v>1</v>
      </c>
    </row>
    <row r="39" spans="1:12" x14ac:dyDescent="0.8">
      <c r="A39" s="9">
        <v>46014</v>
      </c>
      <c r="B39" t="s">
        <v>41</v>
      </c>
      <c r="C39" t="s">
        <v>42</v>
      </c>
      <c r="D39" t="s">
        <v>176</v>
      </c>
      <c r="E39" t="s">
        <v>78</v>
      </c>
      <c r="F39">
        <v>4527</v>
      </c>
      <c r="G39">
        <v>0</v>
      </c>
      <c r="H39">
        <v>-434</v>
      </c>
      <c r="I39">
        <v>403</v>
      </c>
      <c r="J39">
        <v>4496</v>
      </c>
      <c r="K39">
        <v>1</v>
      </c>
    </row>
    <row r="40" spans="1:12" x14ac:dyDescent="0.8">
      <c r="A40" s="9">
        <v>46013</v>
      </c>
      <c r="B40" t="s">
        <v>41</v>
      </c>
      <c r="C40" t="s">
        <v>42</v>
      </c>
      <c r="D40" t="s">
        <v>177</v>
      </c>
      <c r="E40" t="s">
        <v>78</v>
      </c>
      <c r="F40">
        <v>4527</v>
      </c>
      <c r="G40">
        <v>0</v>
      </c>
      <c r="H40">
        <v>-434</v>
      </c>
      <c r="I40">
        <v>403</v>
      </c>
      <c r="J40">
        <v>4496</v>
      </c>
      <c r="K40">
        <v>1</v>
      </c>
    </row>
    <row r="41" spans="1:12" x14ac:dyDescent="0.8">
      <c r="A41" s="9">
        <v>46012</v>
      </c>
      <c r="B41" t="s">
        <v>41</v>
      </c>
      <c r="C41" t="s">
        <v>42</v>
      </c>
      <c r="D41" t="s">
        <v>178</v>
      </c>
      <c r="E41" t="s">
        <v>78</v>
      </c>
      <c r="F41">
        <v>4527</v>
      </c>
      <c r="G41">
        <v>-182</v>
      </c>
      <c r="H41">
        <v>-434</v>
      </c>
      <c r="I41">
        <v>585</v>
      </c>
      <c r="J41">
        <v>4496</v>
      </c>
      <c r="K41">
        <v>1</v>
      </c>
    </row>
    <row r="42" spans="1:12" x14ac:dyDescent="0.8">
      <c r="A42" s="9">
        <v>46012</v>
      </c>
      <c r="B42" t="s">
        <v>41</v>
      </c>
      <c r="C42" t="s">
        <v>42</v>
      </c>
      <c r="D42" t="s">
        <v>179</v>
      </c>
      <c r="E42" t="s">
        <v>78</v>
      </c>
      <c r="F42">
        <v>4527</v>
      </c>
      <c r="G42">
        <v>-455</v>
      </c>
      <c r="H42">
        <v>-434</v>
      </c>
      <c r="I42">
        <v>858</v>
      </c>
      <c r="J42">
        <v>4496</v>
      </c>
      <c r="K42">
        <v>1</v>
      </c>
    </row>
    <row r="43" spans="1:12" x14ac:dyDescent="0.8">
      <c r="A43" s="9">
        <v>46012</v>
      </c>
      <c r="B43" t="s">
        <v>41</v>
      </c>
      <c r="C43" t="s">
        <v>42</v>
      </c>
      <c r="D43" t="s">
        <v>180</v>
      </c>
      <c r="E43" t="s">
        <v>78</v>
      </c>
      <c r="F43">
        <v>5436</v>
      </c>
      <c r="G43">
        <v>0</v>
      </c>
      <c r="H43">
        <v>-455</v>
      </c>
      <c r="I43">
        <v>484</v>
      </c>
      <c r="J43">
        <v>5465</v>
      </c>
      <c r="K43">
        <v>0</v>
      </c>
      <c r="L43">
        <v>1</v>
      </c>
    </row>
    <row r="44" spans="1:12" x14ac:dyDescent="0.8">
      <c r="A44" s="9">
        <v>46012</v>
      </c>
      <c r="B44" t="s">
        <v>41</v>
      </c>
      <c r="C44" t="s">
        <v>53</v>
      </c>
      <c r="D44" t="s">
        <v>54</v>
      </c>
      <c r="E44" t="s">
        <v>55</v>
      </c>
      <c r="F44">
        <v>0</v>
      </c>
      <c r="G44">
        <v>0</v>
      </c>
      <c r="H44">
        <v>-55001</v>
      </c>
      <c r="I44">
        <v>0</v>
      </c>
      <c r="J44">
        <v>-55001</v>
      </c>
      <c r="K44">
        <v>0</v>
      </c>
      <c r="L44">
        <v>0</v>
      </c>
    </row>
    <row r="45" spans="1:12" x14ac:dyDescent="0.8">
      <c r="A45" s="9">
        <v>46012</v>
      </c>
      <c r="B45" t="s">
        <v>41</v>
      </c>
      <c r="C45" t="s">
        <v>42</v>
      </c>
      <c r="D45" t="s">
        <v>181</v>
      </c>
      <c r="E45" t="s">
        <v>78</v>
      </c>
      <c r="F45">
        <v>4042</v>
      </c>
      <c r="G45">
        <v>0</v>
      </c>
      <c r="H45">
        <v>-434</v>
      </c>
      <c r="I45">
        <v>360</v>
      </c>
      <c r="J45">
        <v>3968</v>
      </c>
      <c r="K45">
        <v>1</v>
      </c>
    </row>
    <row r="46" spans="1:12" x14ac:dyDescent="0.8">
      <c r="A46" s="9">
        <v>46012</v>
      </c>
      <c r="B46" t="s">
        <v>41</v>
      </c>
      <c r="C46" t="s">
        <v>42</v>
      </c>
      <c r="D46" t="s">
        <v>182</v>
      </c>
      <c r="E46" t="s">
        <v>78</v>
      </c>
      <c r="F46">
        <v>4527</v>
      </c>
      <c r="G46">
        <v>0</v>
      </c>
      <c r="H46">
        <v>-434</v>
      </c>
      <c r="I46">
        <v>403</v>
      </c>
      <c r="J46">
        <v>4496</v>
      </c>
      <c r="K46">
        <v>1</v>
      </c>
    </row>
    <row r="47" spans="1:12" x14ac:dyDescent="0.8">
      <c r="A47" s="9">
        <v>46011</v>
      </c>
      <c r="B47" t="s">
        <v>41</v>
      </c>
      <c r="C47" t="s">
        <v>42</v>
      </c>
      <c r="D47" t="s">
        <v>183</v>
      </c>
      <c r="E47" t="s">
        <v>78</v>
      </c>
      <c r="F47">
        <v>5436</v>
      </c>
      <c r="G47">
        <v>0</v>
      </c>
      <c r="H47">
        <v>-809</v>
      </c>
      <c r="I47">
        <v>838</v>
      </c>
      <c r="J47">
        <v>5465</v>
      </c>
      <c r="K47">
        <v>0</v>
      </c>
      <c r="L47">
        <v>1</v>
      </c>
    </row>
    <row r="48" spans="1:12" x14ac:dyDescent="0.8">
      <c r="A48" s="9">
        <v>46011</v>
      </c>
      <c r="B48" t="s">
        <v>41</v>
      </c>
      <c r="C48" t="s">
        <v>42</v>
      </c>
      <c r="D48" t="s">
        <v>184</v>
      </c>
      <c r="E48" t="s">
        <v>78</v>
      </c>
      <c r="F48">
        <v>4527</v>
      </c>
      <c r="G48">
        <v>0</v>
      </c>
      <c r="H48">
        <v>-434</v>
      </c>
      <c r="I48">
        <v>403</v>
      </c>
      <c r="J48">
        <v>4496</v>
      </c>
      <c r="K48">
        <v>1</v>
      </c>
    </row>
    <row r="49" spans="1:12" x14ac:dyDescent="0.8">
      <c r="A49" s="9">
        <v>46011</v>
      </c>
      <c r="B49" t="s">
        <v>41</v>
      </c>
      <c r="C49" t="s">
        <v>42</v>
      </c>
      <c r="D49" t="s">
        <v>185</v>
      </c>
      <c r="E49" t="s">
        <v>78</v>
      </c>
      <c r="F49">
        <v>4527</v>
      </c>
      <c r="G49">
        <v>0</v>
      </c>
      <c r="H49">
        <v>-434</v>
      </c>
      <c r="I49">
        <v>403</v>
      </c>
      <c r="J49">
        <v>4496</v>
      </c>
      <c r="K49">
        <v>1</v>
      </c>
    </row>
    <row r="50" spans="1:12" x14ac:dyDescent="0.8">
      <c r="A50" s="9">
        <v>46010</v>
      </c>
      <c r="B50" t="s">
        <v>41</v>
      </c>
      <c r="C50" t="s">
        <v>42</v>
      </c>
      <c r="D50" t="s">
        <v>186</v>
      </c>
      <c r="E50" t="s">
        <v>78</v>
      </c>
      <c r="F50">
        <v>4527</v>
      </c>
      <c r="G50">
        <v>0</v>
      </c>
      <c r="H50">
        <v>-434</v>
      </c>
      <c r="I50">
        <v>403</v>
      </c>
      <c r="J50">
        <v>4496</v>
      </c>
      <c r="K50">
        <v>1</v>
      </c>
    </row>
    <row r="51" spans="1:12" x14ac:dyDescent="0.8">
      <c r="A51" s="9">
        <v>46010</v>
      </c>
      <c r="B51" t="s">
        <v>41</v>
      </c>
      <c r="C51" t="s">
        <v>42</v>
      </c>
      <c r="D51" t="s">
        <v>187</v>
      </c>
      <c r="E51" t="s">
        <v>78</v>
      </c>
      <c r="F51">
        <v>4893</v>
      </c>
      <c r="G51">
        <v>-680</v>
      </c>
      <c r="H51">
        <v>-455</v>
      </c>
      <c r="I51">
        <v>626</v>
      </c>
      <c r="J51">
        <v>4384</v>
      </c>
      <c r="K51">
        <v>0</v>
      </c>
      <c r="L51">
        <v>1</v>
      </c>
    </row>
    <row r="52" spans="1:12" x14ac:dyDescent="0.8">
      <c r="A52" s="9">
        <v>46010</v>
      </c>
      <c r="B52" t="s">
        <v>41</v>
      </c>
      <c r="C52" t="s">
        <v>42</v>
      </c>
      <c r="D52" t="s">
        <v>188</v>
      </c>
      <c r="E52" t="s">
        <v>78</v>
      </c>
      <c r="F52">
        <v>4527</v>
      </c>
      <c r="G52">
        <v>0</v>
      </c>
      <c r="H52">
        <v>-434</v>
      </c>
      <c r="I52">
        <v>403</v>
      </c>
      <c r="J52">
        <v>4496</v>
      </c>
      <c r="K52">
        <v>1</v>
      </c>
    </row>
    <row r="53" spans="1:12" x14ac:dyDescent="0.8">
      <c r="A53" s="9">
        <v>46009</v>
      </c>
      <c r="B53" t="s">
        <v>41</v>
      </c>
      <c r="C53" t="s">
        <v>42</v>
      </c>
      <c r="D53" t="s">
        <v>189</v>
      </c>
      <c r="E53" t="s">
        <v>78</v>
      </c>
      <c r="F53">
        <v>4527</v>
      </c>
      <c r="G53">
        <v>0</v>
      </c>
      <c r="H53">
        <v>-434</v>
      </c>
      <c r="I53">
        <v>403</v>
      </c>
      <c r="J53">
        <v>4496</v>
      </c>
      <c r="K53">
        <v>1</v>
      </c>
    </row>
    <row r="54" spans="1:12" x14ac:dyDescent="0.8">
      <c r="A54" s="9">
        <v>46008</v>
      </c>
      <c r="B54" t="s">
        <v>41</v>
      </c>
      <c r="C54" t="s">
        <v>42</v>
      </c>
      <c r="D54" t="s">
        <v>190</v>
      </c>
      <c r="E54" t="s">
        <v>78</v>
      </c>
      <c r="F54">
        <v>4527</v>
      </c>
      <c r="G54">
        <v>-140</v>
      </c>
      <c r="H54">
        <v>-434</v>
      </c>
      <c r="I54">
        <v>543</v>
      </c>
      <c r="J54">
        <v>4496</v>
      </c>
      <c r="K54">
        <v>1</v>
      </c>
    </row>
    <row r="55" spans="1:12" x14ac:dyDescent="0.8">
      <c r="A55" s="9">
        <v>46008</v>
      </c>
      <c r="B55" t="s">
        <v>41</v>
      </c>
      <c r="C55" t="s">
        <v>42</v>
      </c>
      <c r="D55" t="s">
        <v>191</v>
      </c>
      <c r="E55" t="s">
        <v>78</v>
      </c>
      <c r="F55">
        <v>4527</v>
      </c>
      <c r="G55">
        <v>0</v>
      </c>
      <c r="H55">
        <v>-434</v>
      </c>
      <c r="I55">
        <v>403</v>
      </c>
      <c r="J55">
        <v>4496</v>
      </c>
      <c r="K55">
        <v>1</v>
      </c>
    </row>
    <row r="56" spans="1:12" x14ac:dyDescent="0.8">
      <c r="A56" s="9">
        <v>46008</v>
      </c>
      <c r="B56" t="s">
        <v>41</v>
      </c>
      <c r="C56" t="s">
        <v>42</v>
      </c>
      <c r="D56" t="s">
        <v>192</v>
      </c>
      <c r="E56" t="s">
        <v>78</v>
      </c>
      <c r="F56">
        <v>9055</v>
      </c>
      <c r="G56">
        <v>0</v>
      </c>
      <c r="H56">
        <v>-868</v>
      </c>
      <c r="I56">
        <v>805</v>
      </c>
      <c r="J56">
        <v>8992</v>
      </c>
      <c r="K56">
        <v>2</v>
      </c>
    </row>
    <row r="57" spans="1:12" x14ac:dyDescent="0.8">
      <c r="A57" s="9">
        <v>46008</v>
      </c>
      <c r="B57" t="s">
        <v>41</v>
      </c>
      <c r="C57" t="s">
        <v>42</v>
      </c>
      <c r="D57" t="s">
        <v>193</v>
      </c>
      <c r="E57" t="s">
        <v>78</v>
      </c>
      <c r="F57">
        <v>4042</v>
      </c>
      <c r="G57">
        <v>0</v>
      </c>
      <c r="H57">
        <v>-434</v>
      </c>
      <c r="I57">
        <v>360</v>
      </c>
      <c r="J57">
        <v>3968</v>
      </c>
      <c r="K57">
        <v>1</v>
      </c>
    </row>
    <row r="58" spans="1:12" x14ac:dyDescent="0.8">
      <c r="A58" s="9">
        <v>46007</v>
      </c>
      <c r="B58" t="s">
        <v>41</v>
      </c>
      <c r="C58" t="s">
        <v>42</v>
      </c>
      <c r="D58" t="s">
        <v>194</v>
      </c>
      <c r="E58" t="s">
        <v>78</v>
      </c>
      <c r="F58">
        <v>4527</v>
      </c>
      <c r="G58">
        <v>0</v>
      </c>
      <c r="H58">
        <v>-434</v>
      </c>
      <c r="I58">
        <v>403</v>
      </c>
      <c r="J58">
        <v>4496</v>
      </c>
      <c r="K58">
        <v>1</v>
      </c>
    </row>
    <row r="59" spans="1:12" x14ac:dyDescent="0.8">
      <c r="A59" s="9">
        <v>46007</v>
      </c>
      <c r="B59" t="s">
        <v>41</v>
      </c>
      <c r="C59" t="s">
        <v>42</v>
      </c>
      <c r="D59" t="s">
        <v>195</v>
      </c>
      <c r="E59" t="s">
        <v>78</v>
      </c>
      <c r="F59">
        <v>4527</v>
      </c>
      <c r="G59">
        <v>0</v>
      </c>
      <c r="H59">
        <v>-434</v>
      </c>
      <c r="I59">
        <v>403</v>
      </c>
      <c r="J59">
        <v>4496</v>
      </c>
      <c r="K59">
        <v>1</v>
      </c>
    </row>
    <row r="60" spans="1:12" x14ac:dyDescent="0.8">
      <c r="A60" s="9">
        <v>46007</v>
      </c>
      <c r="B60" t="s">
        <v>41</v>
      </c>
      <c r="C60" t="s">
        <v>42</v>
      </c>
      <c r="D60" t="s">
        <v>196</v>
      </c>
      <c r="E60" t="s">
        <v>78</v>
      </c>
      <c r="F60">
        <v>4893</v>
      </c>
      <c r="G60">
        <v>0</v>
      </c>
      <c r="H60">
        <v>-455</v>
      </c>
      <c r="I60">
        <v>435</v>
      </c>
      <c r="J60">
        <v>4873</v>
      </c>
      <c r="K60">
        <v>0</v>
      </c>
      <c r="L60">
        <v>1</v>
      </c>
    </row>
    <row r="61" spans="1:12" x14ac:dyDescent="0.8">
      <c r="A61" s="9">
        <v>46007</v>
      </c>
      <c r="B61" t="s">
        <v>41</v>
      </c>
      <c r="C61" t="s">
        <v>42</v>
      </c>
      <c r="D61" t="s">
        <v>197</v>
      </c>
      <c r="E61" t="s">
        <v>78</v>
      </c>
      <c r="F61">
        <v>4042</v>
      </c>
      <c r="G61">
        <v>-351</v>
      </c>
      <c r="H61">
        <v>-434</v>
      </c>
      <c r="I61">
        <v>307</v>
      </c>
      <c r="J61">
        <v>3564</v>
      </c>
      <c r="K61">
        <v>1</v>
      </c>
    </row>
    <row r="62" spans="1:12" x14ac:dyDescent="0.8">
      <c r="A62" s="9">
        <v>46006</v>
      </c>
      <c r="B62" t="s">
        <v>41</v>
      </c>
      <c r="C62" t="s">
        <v>42</v>
      </c>
      <c r="D62" t="s">
        <v>198</v>
      </c>
      <c r="E62" t="s">
        <v>78</v>
      </c>
      <c r="F62">
        <v>5436</v>
      </c>
      <c r="G62">
        <v>0</v>
      </c>
      <c r="H62">
        <v>-455</v>
      </c>
      <c r="I62">
        <v>484</v>
      </c>
      <c r="J62">
        <v>5465</v>
      </c>
      <c r="K62">
        <v>0</v>
      </c>
      <c r="L62">
        <v>1</v>
      </c>
    </row>
    <row r="63" spans="1:12" x14ac:dyDescent="0.8">
      <c r="A63" s="9">
        <v>46005</v>
      </c>
      <c r="B63" t="s">
        <v>41</v>
      </c>
      <c r="C63" t="s">
        <v>42</v>
      </c>
      <c r="D63" t="s">
        <v>199</v>
      </c>
      <c r="E63" t="s">
        <v>78</v>
      </c>
      <c r="F63">
        <v>4042</v>
      </c>
      <c r="G63">
        <v>0</v>
      </c>
      <c r="H63">
        <v>-434</v>
      </c>
      <c r="I63">
        <v>360</v>
      </c>
      <c r="J63">
        <v>3968</v>
      </c>
      <c r="K63">
        <v>1</v>
      </c>
    </row>
    <row r="64" spans="1:12" x14ac:dyDescent="0.8">
      <c r="A64" s="9">
        <v>46005</v>
      </c>
      <c r="B64" t="s">
        <v>41</v>
      </c>
      <c r="C64" t="s">
        <v>42</v>
      </c>
      <c r="D64" t="s">
        <v>200</v>
      </c>
      <c r="E64" t="s">
        <v>78</v>
      </c>
      <c r="F64">
        <v>4042</v>
      </c>
      <c r="G64">
        <v>0</v>
      </c>
      <c r="H64">
        <v>-434</v>
      </c>
      <c r="I64">
        <v>360</v>
      </c>
      <c r="J64">
        <v>3968</v>
      </c>
      <c r="K64">
        <v>1</v>
      </c>
    </row>
    <row r="65" spans="1:13" x14ac:dyDescent="0.8">
      <c r="A65" s="9">
        <v>46005</v>
      </c>
      <c r="B65" t="s">
        <v>41</v>
      </c>
      <c r="C65" t="s">
        <v>42</v>
      </c>
      <c r="D65" t="s">
        <v>201</v>
      </c>
      <c r="E65" t="s">
        <v>78</v>
      </c>
      <c r="F65">
        <v>4042</v>
      </c>
      <c r="G65">
        <v>0</v>
      </c>
      <c r="H65">
        <v>-434</v>
      </c>
      <c r="I65">
        <v>360</v>
      </c>
      <c r="J65">
        <v>3968</v>
      </c>
      <c r="K65">
        <v>1</v>
      </c>
    </row>
    <row r="66" spans="1:13" x14ac:dyDescent="0.8">
      <c r="A66" s="9">
        <v>46005</v>
      </c>
      <c r="B66" t="s">
        <v>41</v>
      </c>
      <c r="C66" t="s">
        <v>42</v>
      </c>
      <c r="D66" t="s">
        <v>202</v>
      </c>
      <c r="E66" t="s">
        <v>78</v>
      </c>
      <c r="F66">
        <v>8084</v>
      </c>
      <c r="G66">
        <v>0</v>
      </c>
      <c r="H66">
        <v>-868</v>
      </c>
      <c r="I66">
        <v>720</v>
      </c>
      <c r="J66">
        <v>7936</v>
      </c>
      <c r="K66">
        <v>2</v>
      </c>
    </row>
    <row r="67" spans="1:13" x14ac:dyDescent="0.8">
      <c r="A67" s="9">
        <v>46004</v>
      </c>
      <c r="B67" t="s">
        <v>41</v>
      </c>
      <c r="C67" t="s">
        <v>42</v>
      </c>
      <c r="D67" t="s">
        <v>203</v>
      </c>
      <c r="E67" t="s">
        <v>78</v>
      </c>
      <c r="F67">
        <v>4527</v>
      </c>
      <c r="G67">
        <v>0</v>
      </c>
      <c r="H67">
        <v>-434</v>
      </c>
      <c r="I67">
        <v>403</v>
      </c>
      <c r="J67">
        <v>4496</v>
      </c>
      <c r="K67">
        <v>1</v>
      </c>
    </row>
    <row r="68" spans="1:13" x14ac:dyDescent="0.8">
      <c r="A68" s="9">
        <v>46004</v>
      </c>
      <c r="B68" t="s">
        <v>41</v>
      </c>
      <c r="C68" t="s">
        <v>42</v>
      </c>
      <c r="D68" t="s">
        <v>204</v>
      </c>
      <c r="E68" t="s">
        <v>78</v>
      </c>
      <c r="F68">
        <v>4893</v>
      </c>
      <c r="G68">
        <v>0</v>
      </c>
      <c r="H68">
        <v>-455</v>
      </c>
      <c r="I68">
        <v>435</v>
      </c>
      <c r="J68">
        <v>4873</v>
      </c>
      <c r="K68">
        <v>0</v>
      </c>
      <c r="L68">
        <v>1</v>
      </c>
    </row>
    <row r="69" spans="1:13" x14ac:dyDescent="0.8">
      <c r="A69" s="9">
        <v>46004</v>
      </c>
      <c r="B69" t="s">
        <v>41</v>
      </c>
      <c r="C69" t="s">
        <v>42</v>
      </c>
      <c r="D69" t="s">
        <v>205</v>
      </c>
      <c r="E69" t="s">
        <v>78</v>
      </c>
      <c r="F69">
        <v>18484</v>
      </c>
      <c r="G69">
        <v>0</v>
      </c>
      <c r="H69">
        <v>-1624</v>
      </c>
      <c r="I69">
        <v>1848</v>
      </c>
      <c r="J69">
        <v>18708</v>
      </c>
      <c r="K69">
        <v>0</v>
      </c>
      <c r="L69">
        <v>4</v>
      </c>
    </row>
    <row r="70" spans="1:13" x14ac:dyDescent="0.8">
      <c r="A70" s="9">
        <v>46004</v>
      </c>
      <c r="B70" t="s">
        <v>41</v>
      </c>
      <c r="C70" t="s">
        <v>42</v>
      </c>
      <c r="D70" t="s">
        <v>206</v>
      </c>
      <c r="E70" t="s">
        <v>78</v>
      </c>
      <c r="F70">
        <v>4893</v>
      </c>
      <c r="G70">
        <v>0</v>
      </c>
      <c r="H70">
        <v>-809</v>
      </c>
      <c r="I70">
        <v>789</v>
      </c>
      <c r="J70">
        <v>4873</v>
      </c>
      <c r="K70">
        <v>0</v>
      </c>
      <c r="L70">
        <v>1</v>
      </c>
    </row>
    <row r="71" spans="1:13" x14ac:dyDescent="0.8">
      <c r="A71" s="9">
        <v>46003</v>
      </c>
      <c r="B71" t="s">
        <v>41</v>
      </c>
      <c r="C71" t="s">
        <v>42</v>
      </c>
      <c r="D71" t="s">
        <v>207</v>
      </c>
      <c r="E71" t="s">
        <v>78</v>
      </c>
      <c r="F71">
        <v>5436</v>
      </c>
      <c r="G71">
        <v>0</v>
      </c>
      <c r="H71">
        <v>-455</v>
      </c>
      <c r="I71">
        <v>484</v>
      </c>
      <c r="J71">
        <v>5465</v>
      </c>
      <c r="K71">
        <v>0</v>
      </c>
      <c r="L71">
        <v>1</v>
      </c>
    </row>
    <row r="72" spans="1:13" x14ac:dyDescent="0.8">
      <c r="A72" s="9">
        <v>46003</v>
      </c>
      <c r="B72" t="s">
        <v>41</v>
      </c>
      <c r="C72" t="s">
        <v>42</v>
      </c>
      <c r="D72" t="s">
        <v>208</v>
      </c>
      <c r="E72" t="s">
        <v>78</v>
      </c>
      <c r="F72">
        <v>4042</v>
      </c>
      <c r="G72">
        <v>0</v>
      </c>
      <c r="H72">
        <v>-434</v>
      </c>
      <c r="I72">
        <v>360</v>
      </c>
      <c r="J72">
        <v>3968</v>
      </c>
      <c r="K72">
        <v>1</v>
      </c>
    </row>
    <row r="73" spans="1:13" x14ac:dyDescent="0.8">
      <c r="A73" s="9">
        <v>46003</v>
      </c>
      <c r="B73" t="s">
        <v>41</v>
      </c>
      <c r="C73" t="s">
        <v>42</v>
      </c>
      <c r="D73" t="s">
        <v>209</v>
      </c>
      <c r="E73" t="s">
        <v>78</v>
      </c>
      <c r="F73">
        <v>4042</v>
      </c>
      <c r="G73">
        <v>0</v>
      </c>
      <c r="H73">
        <v>-1160</v>
      </c>
      <c r="I73">
        <v>360</v>
      </c>
      <c r="J73">
        <v>3242</v>
      </c>
      <c r="K73">
        <v>1</v>
      </c>
    </row>
    <row r="74" spans="1:13" x14ac:dyDescent="0.8">
      <c r="A74" s="9">
        <v>46003</v>
      </c>
      <c r="B74" t="s">
        <v>41</v>
      </c>
      <c r="C74" t="s">
        <v>42</v>
      </c>
      <c r="D74" t="s">
        <v>210</v>
      </c>
      <c r="E74" t="s">
        <v>78</v>
      </c>
      <c r="F74">
        <v>4042</v>
      </c>
      <c r="G74">
        <v>0</v>
      </c>
      <c r="H74">
        <v>-434</v>
      </c>
      <c r="I74">
        <v>360</v>
      </c>
      <c r="J74">
        <v>3968</v>
      </c>
      <c r="K74">
        <v>1</v>
      </c>
    </row>
    <row r="75" spans="1:13" x14ac:dyDescent="0.8">
      <c r="A75" s="9">
        <v>46003</v>
      </c>
      <c r="B75" t="s">
        <v>41</v>
      </c>
      <c r="C75" t="s">
        <v>42</v>
      </c>
      <c r="D75" t="s">
        <v>211</v>
      </c>
      <c r="E75" t="s">
        <v>78</v>
      </c>
      <c r="F75">
        <v>4042</v>
      </c>
      <c r="G75">
        <v>0</v>
      </c>
      <c r="H75">
        <v>-434</v>
      </c>
      <c r="I75">
        <v>360</v>
      </c>
      <c r="J75">
        <v>3968</v>
      </c>
      <c r="K75">
        <v>1</v>
      </c>
    </row>
    <row r="76" spans="1:13" x14ac:dyDescent="0.8">
      <c r="A76" s="9">
        <v>46002</v>
      </c>
      <c r="B76" t="s">
        <v>41</v>
      </c>
      <c r="C76" t="s">
        <v>42</v>
      </c>
      <c r="D76" t="s">
        <v>212</v>
      </c>
      <c r="E76" t="s">
        <v>78</v>
      </c>
      <c r="F76">
        <v>4042</v>
      </c>
      <c r="G76">
        <v>0</v>
      </c>
      <c r="H76">
        <v>-434</v>
      </c>
      <c r="I76">
        <v>360</v>
      </c>
      <c r="J76">
        <v>3968</v>
      </c>
      <c r="K76">
        <v>1</v>
      </c>
    </row>
    <row r="77" spans="1:13" x14ac:dyDescent="0.8">
      <c r="A77" s="9">
        <v>46002</v>
      </c>
      <c r="B77" t="s">
        <v>41</v>
      </c>
      <c r="C77" t="s">
        <v>42</v>
      </c>
      <c r="D77" t="s">
        <v>213</v>
      </c>
      <c r="E77" t="s">
        <v>78</v>
      </c>
      <c r="F77">
        <v>8084</v>
      </c>
      <c r="G77">
        <v>0</v>
      </c>
      <c r="H77">
        <v>-868</v>
      </c>
      <c r="I77">
        <v>720</v>
      </c>
      <c r="J77">
        <v>7936</v>
      </c>
      <c r="K77">
        <v>2</v>
      </c>
    </row>
    <row r="78" spans="1:13" x14ac:dyDescent="0.8">
      <c r="A78" s="9">
        <v>46002</v>
      </c>
      <c r="B78" t="s">
        <v>41</v>
      </c>
      <c r="C78" t="s">
        <v>42</v>
      </c>
      <c r="D78" t="s">
        <v>214</v>
      </c>
      <c r="E78" t="s">
        <v>78</v>
      </c>
      <c r="F78">
        <v>9785</v>
      </c>
      <c r="G78">
        <v>0</v>
      </c>
      <c r="H78">
        <v>-434</v>
      </c>
      <c r="I78">
        <v>871</v>
      </c>
      <c r="J78">
        <v>10222</v>
      </c>
      <c r="K78">
        <v>0</v>
      </c>
      <c r="L78">
        <v>0</v>
      </c>
      <c r="M78">
        <v>1</v>
      </c>
    </row>
    <row r="79" spans="1:13" x14ac:dyDescent="0.8">
      <c r="A79" s="9">
        <v>46002</v>
      </c>
      <c r="B79" t="s">
        <v>41</v>
      </c>
      <c r="C79" t="s">
        <v>42</v>
      </c>
      <c r="D79" t="s">
        <v>215</v>
      </c>
      <c r="E79" t="s">
        <v>78</v>
      </c>
      <c r="F79">
        <v>4893</v>
      </c>
      <c r="G79">
        <v>0</v>
      </c>
      <c r="H79">
        <v>-455</v>
      </c>
      <c r="I79">
        <v>435</v>
      </c>
      <c r="J79">
        <v>4873</v>
      </c>
      <c r="K79">
        <v>0</v>
      </c>
      <c r="L79">
        <v>1</v>
      </c>
    </row>
    <row r="80" spans="1:13" x14ac:dyDescent="0.8">
      <c r="A80" s="9">
        <v>46002</v>
      </c>
      <c r="B80" t="s">
        <v>41</v>
      </c>
      <c r="C80" t="s">
        <v>42</v>
      </c>
      <c r="D80" t="s">
        <v>216</v>
      </c>
      <c r="E80" t="s">
        <v>78</v>
      </c>
      <c r="F80">
        <v>8084</v>
      </c>
      <c r="G80">
        <v>0</v>
      </c>
      <c r="H80">
        <v>-2320</v>
      </c>
      <c r="I80">
        <v>720</v>
      </c>
      <c r="J80">
        <v>6484</v>
      </c>
      <c r="K80">
        <v>2</v>
      </c>
    </row>
    <row r="81" spans="1:13" x14ac:dyDescent="0.8">
      <c r="A81" s="9">
        <v>46002</v>
      </c>
      <c r="B81" t="s">
        <v>41</v>
      </c>
      <c r="C81" t="s">
        <v>42</v>
      </c>
      <c r="D81" t="s">
        <v>217</v>
      </c>
      <c r="E81" t="s">
        <v>78</v>
      </c>
      <c r="F81">
        <v>4042</v>
      </c>
      <c r="G81">
        <v>0</v>
      </c>
      <c r="H81">
        <v>-1160</v>
      </c>
      <c r="I81">
        <v>360</v>
      </c>
      <c r="J81">
        <v>3242</v>
      </c>
      <c r="K81">
        <v>1</v>
      </c>
    </row>
    <row r="82" spans="1:13" x14ac:dyDescent="0.8">
      <c r="A82" s="9">
        <v>46002</v>
      </c>
      <c r="B82" t="s">
        <v>41</v>
      </c>
      <c r="C82" t="s">
        <v>42</v>
      </c>
      <c r="D82" t="s">
        <v>93</v>
      </c>
      <c r="E82" t="s">
        <v>78</v>
      </c>
      <c r="F82">
        <v>8084</v>
      </c>
      <c r="G82">
        <v>-1162</v>
      </c>
      <c r="H82">
        <v>-2188</v>
      </c>
      <c r="I82">
        <v>1074</v>
      </c>
      <c r="J82">
        <v>5808</v>
      </c>
      <c r="K82">
        <v>2</v>
      </c>
    </row>
    <row r="83" spans="1:13" x14ac:dyDescent="0.8">
      <c r="A83" s="9">
        <v>46001</v>
      </c>
      <c r="B83" t="s">
        <v>41</v>
      </c>
      <c r="C83" t="s">
        <v>42</v>
      </c>
      <c r="D83" t="s">
        <v>218</v>
      </c>
      <c r="E83" t="s">
        <v>78</v>
      </c>
      <c r="F83">
        <v>4042</v>
      </c>
      <c r="G83">
        <v>0</v>
      </c>
      <c r="H83">
        <v>-434</v>
      </c>
      <c r="I83">
        <v>360</v>
      </c>
      <c r="J83">
        <v>3968</v>
      </c>
      <c r="K83">
        <v>1</v>
      </c>
    </row>
    <row r="84" spans="1:13" x14ac:dyDescent="0.8">
      <c r="A84" s="9">
        <v>46001</v>
      </c>
      <c r="B84" t="s">
        <v>41</v>
      </c>
      <c r="C84" t="s">
        <v>42</v>
      </c>
      <c r="D84" t="s">
        <v>219</v>
      </c>
      <c r="E84" t="s">
        <v>78</v>
      </c>
      <c r="F84">
        <v>4893</v>
      </c>
      <c r="G84">
        <v>0</v>
      </c>
      <c r="H84">
        <v>-455</v>
      </c>
      <c r="I84">
        <v>435</v>
      </c>
      <c r="J84">
        <v>4873</v>
      </c>
      <c r="K84">
        <v>0</v>
      </c>
      <c r="L84">
        <v>1</v>
      </c>
    </row>
    <row r="85" spans="1:13" x14ac:dyDescent="0.8">
      <c r="A85" s="9">
        <v>46001</v>
      </c>
      <c r="B85" t="s">
        <v>41</v>
      </c>
      <c r="C85" t="s">
        <v>42</v>
      </c>
      <c r="D85" t="s">
        <v>220</v>
      </c>
      <c r="E85" t="s">
        <v>78</v>
      </c>
      <c r="F85">
        <v>4042</v>
      </c>
      <c r="G85">
        <v>0</v>
      </c>
      <c r="H85">
        <v>-1160</v>
      </c>
      <c r="I85">
        <v>360</v>
      </c>
      <c r="J85">
        <v>3242</v>
      </c>
      <c r="K85">
        <v>1</v>
      </c>
    </row>
    <row r="86" spans="1:13" x14ac:dyDescent="0.8">
      <c r="A86" s="9">
        <v>46001</v>
      </c>
      <c r="B86" t="s">
        <v>41</v>
      </c>
      <c r="C86" t="s">
        <v>42</v>
      </c>
      <c r="D86" t="s">
        <v>221</v>
      </c>
      <c r="E86" t="s">
        <v>78</v>
      </c>
      <c r="F86">
        <v>4042</v>
      </c>
      <c r="G86">
        <v>0</v>
      </c>
      <c r="H86">
        <v>-1514</v>
      </c>
      <c r="I86">
        <v>714</v>
      </c>
      <c r="J86">
        <v>3242</v>
      </c>
      <c r="K86">
        <v>1</v>
      </c>
    </row>
    <row r="87" spans="1:13" x14ac:dyDescent="0.8">
      <c r="A87" s="9">
        <v>46001</v>
      </c>
      <c r="B87" t="s">
        <v>41</v>
      </c>
      <c r="C87" t="s">
        <v>42</v>
      </c>
      <c r="D87" t="s">
        <v>222</v>
      </c>
      <c r="E87" t="s">
        <v>78</v>
      </c>
      <c r="F87">
        <v>9785</v>
      </c>
      <c r="G87">
        <v>0</v>
      </c>
      <c r="H87">
        <v>-2668</v>
      </c>
      <c r="I87">
        <v>871</v>
      </c>
      <c r="J87">
        <v>7988</v>
      </c>
      <c r="K87">
        <v>0</v>
      </c>
      <c r="L87">
        <v>0</v>
      </c>
      <c r="M87">
        <v>1</v>
      </c>
    </row>
    <row r="88" spans="1:13" x14ac:dyDescent="0.8">
      <c r="A88" s="9">
        <v>46001</v>
      </c>
      <c r="B88" t="s">
        <v>41</v>
      </c>
      <c r="C88" t="s">
        <v>53</v>
      </c>
      <c r="D88" t="s">
        <v>54</v>
      </c>
      <c r="E88" t="s">
        <v>56</v>
      </c>
      <c r="F88">
        <v>0</v>
      </c>
      <c r="G88">
        <v>0</v>
      </c>
      <c r="H88">
        <v>-5390</v>
      </c>
      <c r="I88">
        <v>0</v>
      </c>
      <c r="J88">
        <v>-5390</v>
      </c>
      <c r="K88">
        <v>0</v>
      </c>
      <c r="L88">
        <v>0</v>
      </c>
    </row>
    <row r="89" spans="1:13" x14ac:dyDescent="0.8">
      <c r="A89" s="9">
        <v>46000</v>
      </c>
      <c r="B89" t="s">
        <v>41</v>
      </c>
      <c r="C89" t="s">
        <v>42</v>
      </c>
      <c r="D89" t="s">
        <v>223</v>
      </c>
      <c r="E89" t="s">
        <v>78</v>
      </c>
      <c r="F89">
        <v>4042</v>
      </c>
      <c r="G89">
        <v>-182</v>
      </c>
      <c r="H89">
        <v>-1160</v>
      </c>
      <c r="I89">
        <v>542</v>
      </c>
      <c r="J89">
        <v>3242</v>
      </c>
      <c r="K89">
        <v>1</v>
      </c>
    </row>
    <row r="90" spans="1:13" x14ac:dyDescent="0.8">
      <c r="A90" s="9">
        <v>45999</v>
      </c>
      <c r="B90" t="s">
        <v>41</v>
      </c>
      <c r="C90" t="s">
        <v>42</v>
      </c>
      <c r="D90" t="s">
        <v>95</v>
      </c>
      <c r="E90" t="s">
        <v>78</v>
      </c>
      <c r="F90">
        <v>16167</v>
      </c>
      <c r="G90">
        <v>0</v>
      </c>
      <c r="H90">
        <v>-4640</v>
      </c>
      <c r="I90">
        <v>1441</v>
      </c>
      <c r="J90">
        <v>12968</v>
      </c>
      <c r="K90">
        <v>4</v>
      </c>
    </row>
    <row r="91" spans="1:13" x14ac:dyDescent="0.8">
      <c r="A91" s="9">
        <v>45999</v>
      </c>
      <c r="B91" t="s">
        <v>41</v>
      </c>
      <c r="C91" t="s">
        <v>42</v>
      </c>
      <c r="D91" t="s">
        <v>92</v>
      </c>
      <c r="E91" t="s">
        <v>78</v>
      </c>
      <c r="F91">
        <v>4042</v>
      </c>
      <c r="G91">
        <v>0</v>
      </c>
      <c r="H91">
        <v>-1160</v>
      </c>
      <c r="I91">
        <v>360</v>
      </c>
      <c r="J91">
        <v>3242</v>
      </c>
      <c r="K91">
        <v>1</v>
      </c>
    </row>
    <row r="92" spans="1:13" x14ac:dyDescent="0.8">
      <c r="A92" s="9">
        <v>45999</v>
      </c>
      <c r="B92" t="s">
        <v>41</v>
      </c>
      <c r="C92" t="s">
        <v>42</v>
      </c>
      <c r="D92" t="s">
        <v>99</v>
      </c>
      <c r="E92" t="s">
        <v>78</v>
      </c>
      <c r="F92">
        <v>4042</v>
      </c>
      <c r="G92">
        <v>0</v>
      </c>
      <c r="H92">
        <v>-1160</v>
      </c>
      <c r="I92">
        <v>360</v>
      </c>
      <c r="J92">
        <v>3242</v>
      </c>
      <c r="K92">
        <v>1</v>
      </c>
    </row>
    <row r="93" spans="1:13" x14ac:dyDescent="0.8">
      <c r="A93" s="9">
        <v>45998</v>
      </c>
      <c r="B93" t="s">
        <v>41</v>
      </c>
      <c r="C93" t="s">
        <v>42</v>
      </c>
      <c r="D93" t="s">
        <v>94</v>
      </c>
      <c r="E93" t="s">
        <v>78</v>
      </c>
      <c r="F93">
        <v>4042</v>
      </c>
      <c r="G93">
        <v>-418</v>
      </c>
      <c r="H93">
        <v>-1160</v>
      </c>
      <c r="I93">
        <v>778</v>
      </c>
      <c r="J93">
        <v>3242</v>
      </c>
      <c r="K93">
        <v>1</v>
      </c>
    </row>
    <row r="94" spans="1:13" x14ac:dyDescent="0.8">
      <c r="A94" s="9">
        <v>45998</v>
      </c>
      <c r="B94" t="s">
        <v>41</v>
      </c>
      <c r="C94" t="s">
        <v>42</v>
      </c>
      <c r="D94" t="s">
        <v>102</v>
      </c>
      <c r="E94" t="s">
        <v>78</v>
      </c>
      <c r="F94">
        <v>4893</v>
      </c>
      <c r="G94">
        <v>0</v>
      </c>
      <c r="H94">
        <v>-1334</v>
      </c>
      <c r="I94">
        <v>435</v>
      </c>
      <c r="J94">
        <v>3994</v>
      </c>
      <c r="K94">
        <v>0</v>
      </c>
      <c r="L94">
        <v>1</v>
      </c>
    </row>
    <row r="95" spans="1:13" x14ac:dyDescent="0.8">
      <c r="A95" s="9">
        <v>45998</v>
      </c>
      <c r="B95" t="s">
        <v>41</v>
      </c>
      <c r="C95" t="s">
        <v>42</v>
      </c>
      <c r="D95" t="s">
        <v>97</v>
      </c>
      <c r="E95" t="s">
        <v>78</v>
      </c>
      <c r="F95">
        <v>4042</v>
      </c>
      <c r="G95">
        <v>0</v>
      </c>
      <c r="H95">
        <v>-1160</v>
      </c>
      <c r="I95">
        <v>360</v>
      </c>
      <c r="J95">
        <v>3242</v>
      </c>
      <c r="K95">
        <v>1</v>
      </c>
    </row>
    <row r="96" spans="1:13" x14ac:dyDescent="0.8">
      <c r="A96" s="9">
        <v>45998</v>
      </c>
      <c r="B96" t="s">
        <v>41</v>
      </c>
      <c r="C96" t="s">
        <v>53</v>
      </c>
      <c r="D96" t="s">
        <v>54</v>
      </c>
      <c r="E96" t="s">
        <v>60</v>
      </c>
      <c r="F96">
        <v>0</v>
      </c>
      <c r="G96">
        <v>0</v>
      </c>
      <c r="H96">
        <v>0</v>
      </c>
      <c r="I96">
        <v>-1201</v>
      </c>
      <c r="J96">
        <v>-1201</v>
      </c>
      <c r="K96">
        <v>0</v>
      </c>
      <c r="L96">
        <v>0</v>
      </c>
    </row>
    <row r="97" spans="1:12" x14ac:dyDescent="0.8">
      <c r="A97" s="9">
        <v>45997</v>
      </c>
      <c r="B97" t="s">
        <v>41</v>
      </c>
      <c r="C97" t="s">
        <v>42</v>
      </c>
      <c r="D97" t="s">
        <v>98</v>
      </c>
      <c r="E97" t="s">
        <v>78</v>
      </c>
      <c r="F97">
        <v>4042</v>
      </c>
      <c r="G97">
        <v>0</v>
      </c>
      <c r="H97">
        <v>-1160</v>
      </c>
      <c r="I97">
        <v>360</v>
      </c>
      <c r="J97">
        <v>3242</v>
      </c>
      <c r="K97">
        <v>1</v>
      </c>
    </row>
    <row r="98" spans="1:12" x14ac:dyDescent="0.8">
      <c r="A98" s="9">
        <v>45997</v>
      </c>
      <c r="B98" t="s">
        <v>41</v>
      </c>
      <c r="C98" t="s">
        <v>42</v>
      </c>
      <c r="D98" t="s">
        <v>96</v>
      </c>
      <c r="E98" t="s">
        <v>78</v>
      </c>
      <c r="F98">
        <v>4042</v>
      </c>
      <c r="G98">
        <v>0</v>
      </c>
      <c r="H98">
        <v>-1160</v>
      </c>
      <c r="I98">
        <v>360</v>
      </c>
      <c r="J98">
        <v>3242</v>
      </c>
      <c r="K98">
        <v>1</v>
      </c>
    </row>
    <row r="99" spans="1:12" x14ac:dyDescent="0.8">
      <c r="A99" s="9">
        <v>45997</v>
      </c>
      <c r="B99" t="s">
        <v>41</v>
      </c>
      <c r="C99" t="s">
        <v>42</v>
      </c>
      <c r="D99" t="s">
        <v>104</v>
      </c>
      <c r="E99" t="s">
        <v>78</v>
      </c>
      <c r="F99">
        <v>4042</v>
      </c>
      <c r="G99">
        <v>0</v>
      </c>
      <c r="H99">
        <v>-1160</v>
      </c>
      <c r="I99">
        <v>360</v>
      </c>
      <c r="J99">
        <v>3242</v>
      </c>
      <c r="K99">
        <v>1</v>
      </c>
    </row>
    <row r="100" spans="1:12" x14ac:dyDescent="0.8">
      <c r="A100" s="9">
        <v>45997</v>
      </c>
      <c r="B100" t="s">
        <v>41</v>
      </c>
      <c r="C100" t="s">
        <v>42</v>
      </c>
      <c r="D100" t="s">
        <v>103</v>
      </c>
      <c r="E100" t="s">
        <v>78</v>
      </c>
      <c r="F100">
        <v>4893</v>
      </c>
      <c r="G100">
        <v>0</v>
      </c>
      <c r="H100">
        <v>-1334</v>
      </c>
      <c r="I100">
        <v>435</v>
      </c>
      <c r="J100">
        <v>3994</v>
      </c>
      <c r="K100">
        <v>0</v>
      </c>
      <c r="L100">
        <v>1</v>
      </c>
    </row>
    <row r="101" spans="1:12" x14ac:dyDescent="0.8">
      <c r="A101" s="9">
        <v>45997</v>
      </c>
      <c r="B101" t="s">
        <v>41</v>
      </c>
      <c r="C101" t="s">
        <v>42</v>
      </c>
      <c r="D101" t="s">
        <v>105</v>
      </c>
      <c r="E101" t="s">
        <v>78</v>
      </c>
      <c r="F101">
        <v>4042</v>
      </c>
      <c r="G101">
        <v>0</v>
      </c>
      <c r="H101">
        <v>-1160</v>
      </c>
      <c r="I101">
        <v>360</v>
      </c>
      <c r="J101">
        <v>3242</v>
      </c>
      <c r="K101">
        <v>1</v>
      </c>
    </row>
    <row r="102" spans="1:12" x14ac:dyDescent="0.8">
      <c r="A102" s="9">
        <v>45997</v>
      </c>
      <c r="B102" t="s">
        <v>41</v>
      </c>
      <c r="C102" t="s">
        <v>42</v>
      </c>
      <c r="D102" t="s">
        <v>101</v>
      </c>
      <c r="E102" t="s">
        <v>78</v>
      </c>
      <c r="F102">
        <v>4042</v>
      </c>
      <c r="G102">
        <v>0</v>
      </c>
      <c r="H102">
        <v>-1160</v>
      </c>
      <c r="I102">
        <v>360</v>
      </c>
      <c r="J102">
        <v>3242</v>
      </c>
      <c r="K102">
        <v>1</v>
      </c>
    </row>
    <row r="103" spans="1:12" x14ac:dyDescent="0.8">
      <c r="A103" s="9">
        <v>45997</v>
      </c>
      <c r="B103" t="s">
        <v>41</v>
      </c>
      <c r="C103" t="s">
        <v>42</v>
      </c>
      <c r="D103" t="s">
        <v>106</v>
      </c>
      <c r="E103" t="s">
        <v>78</v>
      </c>
      <c r="F103">
        <v>4042</v>
      </c>
      <c r="G103">
        <v>-209</v>
      </c>
      <c r="H103">
        <v>-1160</v>
      </c>
      <c r="I103">
        <v>569</v>
      </c>
      <c r="J103">
        <v>3242</v>
      </c>
      <c r="K103">
        <v>1</v>
      </c>
    </row>
    <row r="104" spans="1:12" x14ac:dyDescent="0.8">
      <c r="A104" s="9">
        <v>45997</v>
      </c>
      <c r="B104" t="s">
        <v>41</v>
      </c>
      <c r="C104" t="s">
        <v>42</v>
      </c>
      <c r="D104" t="s">
        <v>100</v>
      </c>
      <c r="E104" t="s">
        <v>78</v>
      </c>
      <c r="F104">
        <v>4042</v>
      </c>
      <c r="G104">
        <v>0</v>
      </c>
      <c r="H104">
        <v>-1160</v>
      </c>
      <c r="I104">
        <v>360</v>
      </c>
      <c r="J104">
        <v>3242</v>
      </c>
      <c r="K104">
        <v>1</v>
      </c>
    </row>
    <row r="105" spans="1:12" x14ac:dyDescent="0.8">
      <c r="A105" s="9">
        <v>45996</v>
      </c>
      <c r="B105" t="s">
        <v>41</v>
      </c>
      <c r="C105" t="s">
        <v>42</v>
      </c>
      <c r="D105" t="s">
        <v>107</v>
      </c>
      <c r="E105" t="s">
        <v>78</v>
      </c>
      <c r="F105">
        <v>4042</v>
      </c>
      <c r="G105">
        <v>0</v>
      </c>
      <c r="H105">
        <v>-1160</v>
      </c>
      <c r="I105">
        <v>360</v>
      </c>
      <c r="J105">
        <v>3242</v>
      </c>
      <c r="K105">
        <v>1</v>
      </c>
    </row>
    <row r="106" spans="1:12" x14ac:dyDescent="0.8">
      <c r="A106" s="9">
        <v>45995</v>
      </c>
      <c r="B106" t="s">
        <v>41</v>
      </c>
      <c r="C106" t="s">
        <v>42</v>
      </c>
      <c r="D106" t="s">
        <v>108</v>
      </c>
      <c r="E106" t="s">
        <v>78</v>
      </c>
      <c r="F106">
        <v>4042</v>
      </c>
      <c r="G106">
        <v>0</v>
      </c>
      <c r="H106">
        <v>-1160</v>
      </c>
      <c r="I106">
        <v>360</v>
      </c>
      <c r="J106">
        <v>3242</v>
      </c>
      <c r="K106">
        <v>1</v>
      </c>
    </row>
    <row r="107" spans="1:12" x14ac:dyDescent="0.8">
      <c r="A107" s="9">
        <v>45995</v>
      </c>
      <c r="B107" t="s">
        <v>41</v>
      </c>
      <c r="C107" t="s">
        <v>42</v>
      </c>
      <c r="D107" t="s">
        <v>111</v>
      </c>
      <c r="E107" t="s">
        <v>78</v>
      </c>
      <c r="F107">
        <v>4042</v>
      </c>
      <c r="G107">
        <v>0</v>
      </c>
      <c r="H107">
        <v>-1160</v>
      </c>
      <c r="I107">
        <v>360</v>
      </c>
      <c r="J107">
        <v>3242</v>
      </c>
      <c r="K107">
        <v>1</v>
      </c>
    </row>
    <row r="108" spans="1:12" x14ac:dyDescent="0.8">
      <c r="A108" s="9">
        <v>45994</v>
      </c>
      <c r="B108" t="s">
        <v>41</v>
      </c>
      <c r="C108" t="s">
        <v>42</v>
      </c>
      <c r="D108" t="s">
        <v>116</v>
      </c>
      <c r="E108" t="s">
        <v>78</v>
      </c>
      <c r="F108">
        <v>4042</v>
      </c>
      <c r="G108">
        <v>-806</v>
      </c>
      <c r="H108">
        <v>-1094</v>
      </c>
      <c r="I108">
        <v>762</v>
      </c>
      <c r="J108">
        <v>2904</v>
      </c>
      <c r="K108">
        <v>1</v>
      </c>
    </row>
    <row r="109" spans="1:12" x14ac:dyDescent="0.8">
      <c r="A109" s="9">
        <v>45994</v>
      </c>
      <c r="B109" t="s">
        <v>41</v>
      </c>
      <c r="C109" t="s">
        <v>42</v>
      </c>
      <c r="D109" t="s">
        <v>109</v>
      </c>
      <c r="E109" t="s">
        <v>78</v>
      </c>
      <c r="F109">
        <v>4042</v>
      </c>
      <c r="G109">
        <v>0</v>
      </c>
      <c r="H109">
        <v>-1160</v>
      </c>
      <c r="I109">
        <v>360</v>
      </c>
      <c r="J109">
        <v>3242</v>
      </c>
      <c r="K109">
        <v>1</v>
      </c>
    </row>
    <row r="110" spans="1:12" x14ac:dyDescent="0.8">
      <c r="A110" s="9">
        <v>45994</v>
      </c>
      <c r="B110" t="s">
        <v>41</v>
      </c>
      <c r="C110" t="s">
        <v>42</v>
      </c>
      <c r="D110" t="s">
        <v>110</v>
      </c>
      <c r="E110" t="s">
        <v>78</v>
      </c>
      <c r="F110">
        <v>8084</v>
      </c>
      <c r="G110">
        <v>0</v>
      </c>
      <c r="H110">
        <v>-2320</v>
      </c>
      <c r="I110">
        <v>720</v>
      </c>
      <c r="J110">
        <v>6484</v>
      </c>
      <c r="K110">
        <v>2</v>
      </c>
    </row>
    <row r="111" spans="1:12" x14ac:dyDescent="0.8">
      <c r="A111" s="9">
        <v>45994</v>
      </c>
      <c r="B111" t="s">
        <v>41</v>
      </c>
      <c r="C111" t="s">
        <v>42</v>
      </c>
      <c r="D111" t="s">
        <v>113</v>
      </c>
      <c r="E111" t="s">
        <v>78</v>
      </c>
      <c r="F111">
        <v>4042</v>
      </c>
      <c r="G111">
        <v>0</v>
      </c>
      <c r="H111">
        <v>-1160</v>
      </c>
      <c r="I111">
        <v>360</v>
      </c>
      <c r="J111">
        <v>3242</v>
      </c>
      <c r="K111">
        <v>1</v>
      </c>
    </row>
    <row r="112" spans="1:12" x14ac:dyDescent="0.8">
      <c r="A112" s="9">
        <v>45994</v>
      </c>
      <c r="B112" t="s">
        <v>41</v>
      </c>
      <c r="C112" t="s">
        <v>42</v>
      </c>
      <c r="D112" t="s">
        <v>112</v>
      </c>
      <c r="E112" t="s">
        <v>78</v>
      </c>
      <c r="F112">
        <v>4042</v>
      </c>
      <c r="G112">
        <v>0</v>
      </c>
      <c r="H112">
        <v>-1160</v>
      </c>
      <c r="I112">
        <v>360</v>
      </c>
      <c r="J112">
        <v>3242</v>
      </c>
      <c r="K112">
        <v>1</v>
      </c>
    </row>
    <row r="113" spans="1:13" x14ac:dyDescent="0.8">
      <c r="A113" s="9">
        <v>45994</v>
      </c>
      <c r="B113" t="s">
        <v>41</v>
      </c>
      <c r="C113" t="s">
        <v>42</v>
      </c>
      <c r="D113" t="s">
        <v>115</v>
      </c>
      <c r="E113" t="s">
        <v>78</v>
      </c>
      <c r="F113">
        <v>8084</v>
      </c>
      <c r="G113">
        <v>0</v>
      </c>
      <c r="H113">
        <v>-1343</v>
      </c>
      <c r="I113">
        <v>720</v>
      </c>
      <c r="J113">
        <v>7461</v>
      </c>
      <c r="K113">
        <v>2</v>
      </c>
    </row>
    <row r="114" spans="1:13" x14ac:dyDescent="0.8">
      <c r="A114" s="9">
        <v>45993</v>
      </c>
      <c r="B114" t="s">
        <v>41</v>
      </c>
      <c r="C114" t="s">
        <v>42</v>
      </c>
      <c r="D114" t="s">
        <v>114</v>
      </c>
      <c r="E114" t="s">
        <v>78</v>
      </c>
      <c r="F114">
        <v>4042</v>
      </c>
      <c r="G114">
        <v>0</v>
      </c>
      <c r="H114">
        <v>-1160</v>
      </c>
      <c r="I114">
        <v>360</v>
      </c>
      <c r="J114">
        <v>3242</v>
      </c>
      <c r="K114">
        <v>1</v>
      </c>
    </row>
    <row r="115" spans="1:13" x14ac:dyDescent="0.8">
      <c r="A115" s="9">
        <v>45993</v>
      </c>
      <c r="B115" t="s">
        <v>41</v>
      </c>
      <c r="C115" t="s">
        <v>42</v>
      </c>
      <c r="D115" t="s">
        <v>224</v>
      </c>
      <c r="E115" t="s">
        <v>78</v>
      </c>
      <c r="F115">
        <v>4893</v>
      </c>
      <c r="G115">
        <v>0</v>
      </c>
      <c r="H115">
        <v>-1334</v>
      </c>
      <c r="I115">
        <v>435</v>
      </c>
      <c r="J115">
        <v>3994</v>
      </c>
      <c r="K115">
        <v>0</v>
      </c>
      <c r="L115">
        <v>1</v>
      </c>
    </row>
    <row r="116" spans="1:13" x14ac:dyDescent="0.8">
      <c r="A116" s="9">
        <v>45993</v>
      </c>
      <c r="B116" t="s">
        <v>41</v>
      </c>
      <c r="C116" t="s">
        <v>42</v>
      </c>
      <c r="D116" t="s">
        <v>225</v>
      </c>
      <c r="E116" t="s">
        <v>78</v>
      </c>
      <c r="F116">
        <v>4042</v>
      </c>
      <c r="G116">
        <v>0</v>
      </c>
      <c r="H116">
        <v>-1160</v>
      </c>
      <c r="I116">
        <v>360</v>
      </c>
      <c r="J116">
        <v>3242</v>
      </c>
      <c r="K116">
        <v>1</v>
      </c>
    </row>
    <row r="117" spans="1:13" x14ac:dyDescent="0.8">
      <c r="A117" s="9">
        <v>45993</v>
      </c>
      <c r="B117" t="s">
        <v>41</v>
      </c>
      <c r="C117" t="s">
        <v>53</v>
      </c>
      <c r="D117" t="s">
        <v>54</v>
      </c>
      <c r="E117" t="s">
        <v>55</v>
      </c>
      <c r="F117">
        <v>0</v>
      </c>
      <c r="G117">
        <v>0</v>
      </c>
      <c r="H117">
        <v>-36469</v>
      </c>
      <c r="I117">
        <v>0</v>
      </c>
      <c r="J117">
        <v>-36469</v>
      </c>
      <c r="K117">
        <v>0</v>
      </c>
      <c r="L117">
        <v>0</v>
      </c>
    </row>
    <row r="118" spans="1:13" x14ac:dyDescent="0.8">
      <c r="A118" s="9">
        <v>45992</v>
      </c>
      <c r="B118" t="s">
        <v>41</v>
      </c>
      <c r="C118" t="s">
        <v>42</v>
      </c>
      <c r="D118" t="s">
        <v>226</v>
      </c>
      <c r="E118" t="s">
        <v>78</v>
      </c>
      <c r="F118">
        <v>4042</v>
      </c>
      <c r="G118">
        <v>0</v>
      </c>
      <c r="H118">
        <v>-1160</v>
      </c>
      <c r="I118">
        <v>360</v>
      </c>
      <c r="J118">
        <v>3242</v>
      </c>
      <c r="K118">
        <v>1</v>
      </c>
    </row>
    <row r="119" spans="1:13" x14ac:dyDescent="0.8">
      <c r="A119" s="9">
        <v>45992</v>
      </c>
      <c r="B119" t="s">
        <v>41</v>
      </c>
      <c r="C119" t="s">
        <v>42</v>
      </c>
      <c r="D119" t="s">
        <v>227</v>
      </c>
      <c r="E119" t="s">
        <v>78</v>
      </c>
      <c r="F119">
        <v>4042</v>
      </c>
      <c r="G119">
        <v>0</v>
      </c>
      <c r="H119">
        <v>-1160</v>
      </c>
      <c r="I119">
        <v>360</v>
      </c>
      <c r="J119">
        <v>3242</v>
      </c>
      <c r="K119">
        <v>1</v>
      </c>
    </row>
    <row r="120" spans="1:13" x14ac:dyDescent="0.8">
      <c r="A120" s="9">
        <v>45992</v>
      </c>
      <c r="B120" t="s">
        <v>41</v>
      </c>
      <c r="C120" t="s">
        <v>42</v>
      </c>
      <c r="D120" t="s">
        <v>228</v>
      </c>
      <c r="E120" t="s">
        <v>78</v>
      </c>
      <c r="F120">
        <v>4527</v>
      </c>
      <c r="G120">
        <v>0</v>
      </c>
      <c r="H120">
        <v>-1602</v>
      </c>
      <c r="I120">
        <v>757</v>
      </c>
      <c r="J120">
        <v>3682</v>
      </c>
      <c r="K120">
        <v>1</v>
      </c>
    </row>
    <row r="121" spans="1:13" x14ac:dyDescent="0.8">
      <c r="A121" s="9">
        <v>45992</v>
      </c>
      <c r="B121" t="s">
        <v>41</v>
      </c>
      <c r="C121" t="s">
        <v>42</v>
      </c>
      <c r="D121" t="s">
        <v>229</v>
      </c>
      <c r="E121" t="s">
        <v>78</v>
      </c>
      <c r="F121">
        <v>8084</v>
      </c>
      <c r="G121">
        <v>0</v>
      </c>
      <c r="H121">
        <v>-1889</v>
      </c>
      <c r="I121">
        <v>720</v>
      </c>
      <c r="J121">
        <v>6915</v>
      </c>
      <c r="K121">
        <v>2</v>
      </c>
    </row>
    <row r="122" spans="1:13" ht="79.5" x14ac:dyDescent="0.8">
      <c r="F122" s="17" t="s">
        <v>76</v>
      </c>
      <c r="G122" s="17" t="s">
        <v>73</v>
      </c>
      <c r="H122" s="17" t="s">
        <v>74</v>
      </c>
      <c r="I122" s="17" t="s">
        <v>75</v>
      </c>
    </row>
    <row r="123" spans="1:13" x14ac:dyDescent="0.8">
      <c r="F123">
        <f>ROUND(SUM(F2:F121)/1.1,0)</f>
        <v>533118</v>
      </c>
      <c r="G123">
        <f>ROUND(SUM(G2:G121)/1.1,0)</f>
        <v>-6637</v>
      </c>
      <c r="H123">
        <f>ROUND(SUM(H2:H121)/1.1,0)</f>
        <v>-193374</v>
      </c>
      <c r="I123">
        <f>ROUND(SUM(I2:I121)/1.1,0)</f>
        <v>52940</v>
      </c>
      <c r="J123">
        <f>ROUND(SUM(J2:J121)/1.1,0)</f>
        <v>386047</v>
      </c>
      <c r="K123">
        <f>SUM(K2:K122)</f>
        <v>108</v>
      </c>
      <c r="L123">
        <f>SUM(L2:L122)</f>
        <v>21</v>
      </c>
      <c r="M123">
        <f>SUM(M2:M122)</f>
        <v>2</v>
      </c>
    </row>
    <row r="124" spans="1:13" x14ac:dyDescent="0.8">
      <c r="F124" t="s">
        <v>62</v>
      </c>
      <c r="G124" t="s">
        <v>62</v>
      </c>
      <c r="H124" t="s">
        <v>62</v>
      </c>
      <c r="I124" t="s">
        <v>62</v>
      </c>
      <c r="J124" t="s">
        <v>62</v>
      </c>
    </row>
    <row r="125" spans="1:13" x14ac:dyDescent="0.8">
      <c r="G125" t="s">
        <v>70</v>
      </c>
      <c r="H125">
        <v>-5390</v>
      </c>
    </row>
    <row r="126" spans="1:13" x14ac:dyDescent="0.8">
      <c r="G126" t="s">
        <v>87</v>
      </c>
      <c r="H126">
        <v>-7361</v>
      </c>
    </row>
    <row r="127" spans="1:13" x14ac:dyDescent="0.8">
      <c r="G127" t="s">
        <v>71</v>
      </c>
      <c r="H127">
        <v>-91470</v>
      </c>
    </row>
    <row r="128" spans="1:13" ht="79.5" x14ac:dyDescent="0.8">
      <c r="G128" s="17" t="s">
        <v>88</v>
      </c>
      <c r="H128">
        <f>ROUND(SUM(H125:H127)/1.1,0)</f>
        <v>-94746</v>
      </c>
    </row>
    <row r="129" spans="7:8" x14ac:dyDescent="0.8">
      <c r="G129" t="s">
        <v>72</v>
      </c>
      <c r="H129">
        <f>H123-H128</f>
        <v>-98628</v>
      </c>
    </row>
  </sheetData>
  <autoFilter ref="A1:M129" xr:uid="{B4D9AF07-50AC-7F44-B074-C4820E76FF34}"/>
  <sortState xmlns:xlrd2="http://schemas.microsoft.com/office/spreadsheetml/2017/richdata2" ref="A59:K62">
    <sortCondition ref="D59:D62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42"/>
  <sheetViews>
    <sheetView topLeftCell="C1" workbookViewId="0">
      <selection activeCell="J31" sqref="I31:J45"/>
    </sheetView>
  </sheetViews>
  <sheetFormatPr defaultColWidth="10.6640625" defaultRowHeight="19.899999999999999" x14ac:dyDescent="0.8"/>
  <cols>
    <col min="5" max="5" width="59.4414062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117</v>
      </c>
    </row>
    <row r="2" spans="1:11" x14ac:dyDescent="0.8">
      <c r="A2" s="9">
        <v>46021</v>
      </c>
      <c r="B2" t="s">
        <v>61</v>
      </c>
      <c r="C2" t="s">
        <v>42</v>
      </c>
      <c r="D2" t="s">
        <v>125</v>
      </c>
      <c r="E2" t="s">
        <v>78</v>
      </c>
      <c r="F2">
        <v>9054</v>
      </c>
      <c r="G2">
        <v>-1612</v>
      </c>
      <c r="H2">
        <v>-2346</v>
      </c>
      <c r="I2">
        <v>1512</v>
      </c>
      <c r="J2">
        <v>6608</v>
      </c>
      <c r="K2" s="19" t="e">
        <f>VLOOKUP(D2,Amazon詳細!D:D,1,0)</f>
        <v>#N/A</v>
      </c>
    </row>
    <row r="3" spans="1:11" x14ac:dyDescent="0.8">
      <c r="A3" s="9">
        <v>46021</v>
      </c>
      <c r="B3" t="s">
        <v>61</v>
      </c>
      <c r="C3" t="s">
        <v>42</v>
      </c>
      <c r="D3" t="s">
        <v>126</v>
      </c>
      <c r="E3" t="s">
        <v>78</v>
      </c>
      <c r="F3">
        <v>4527</v>
      </c>
      <c r="G3">
        <v>0</v>
      </c>
      <c r="H3">
        <v>-1248</v>
      </c>
      <c r="I3">
        <v>403</v>
      </c>
      <c r="J3">
        <v>3682</v>
      </c>
      <c r="K3" s="19" t="e">
        <f>VLOOKUP(D3,Amazon詳細!D:D,1,0)</f>
        <v>#N/A</v>
      </c>
    </row>
    <row r="4" spans="1:11" x14ac:dyDescent="0.8">
      <c r="A4" s="9">
        <v>46019</v>
      </c>
      <c r="B4" t="s">
        <v>61</v>
      </c>
      <c r="C4" t="s">
        <v>42</v>
      </c>
      <c r="D4" t="s">
        <v>127</v>
      </c>
      <c r="E4" t="s">
        <v>78</v>
      </c>
      <c r="F4">
        <v>4527</v>
      </c>
      <c r="G4">
        <v>0</v>
      </c>
      <c r="H4">
        <v>-1248</v>
      </c>
      <c r="I4">
        <v>403</v>
      </c>
      <c r="J4">
        <v>3682</v>
      </c>
      <c r="K4" s="19" t="e">
        <f>VLOOKUP(D4,Amazon詳細!D:D,1,0)</f>
        <v>#N/A</v>
      </c>
    </row>
    <row r="5" spans="1:11" x14ac:dyDescent="0.8">
      <c r="A5" s="9">
        <v>46019</v>
      </c>
      <c r="B5" t="s">
        <v>61</v>
      </c>
      <c r="C5" t="s">
        <v>42</v>
      </c>
      <c r="D5" t="s">
        <v>128</v>
      </c>
      <c r="E5" t="s">
        <v>78</v>
      </c>
      <c r="F5">
        <v>4527</v>
      </c>
      <c r="G5">
        <v>0</v>
      </c>
      <c r="H5">
        <v>-1248</v>
      </c>
      <c r="I5">
        <v>403</v>
      </c>
      <c r="J5">
        <v>3682</v>
      </c>
      <c r="K5" s="19" t="e">
        <f>VLOOKUP(D5,Amazon詳細!D:D,1,0)</f>
        <v>#N/A</v>
      </c>
    </row>
    <row r="6" spans="1:11" x14ac:dyDescent="0.8">
      <c r="A6" s="9">
        <v>46019</v>
      </c>
      <c r="B6" t="s">
        <v>61</v>
      </c>
      <c r="C6" t="s">
        <v>42</v>
      </c>
      <c r="D6" t="s">
        <v>129</v>
      </c>
      <c r="E6" t="s">
        <v>78</v>
      </c>
      <c r="F6">
        <v>5436</v>
      </c>
      <c r="G6">
        <v>0</v>
      </c>
      <c r="H6">
        <v>-1432</v>
      </c>
      <c r="I6">
        <v>484</v>
      </c>
      <c r="J6">
        <v>4488</v>
      </c>
      <c r="K6" s="19" t="e">
        <f>VLOOKUP(D6,Amazon詳細!D:D,1,0)</f>
        <v>#N/A</v>
      </c>
    </row>
    <row r="7" spans="1:11" x14ac:dyDescent="0.8">
      <c r="A7" s="9">
        <v>46018</v>
      </c>
      <c r="B7" t="s">
        <v>61</v>
      </c>
      <c r="C7" t="s">
        <v>42</v>
      </c>
      <c r="D7" t="s">
        <v>130</v>
      </c>
      <c r="E7" t="s">
        <v>78</v>
      </c>
      <c r="F7">
        <v>10873</v>
      </c>
      <c r="G7">
        <v>0</v>
      </c>
      <c r="H7">
        <v>-2864</v>
      </c>
      <c r="I7">
        <v>967</v>
      </c>
      <c r="J7">
        <v>8976</v>
      </c>
      <c r="K7" s="19" t="e">
        <f>VLOOKUP(D7,Amazon詳細!D:D,1,0)</f>
        <v>#N/A</v>
      </c>
    </row>
    <row r="8" spans="1:11" x14ac:dyDescent="0.8">
      <c r="A8" s="9">
        <v>46018</v>
      </c>
      <c r="B8" t="s">
        <v>61</v>
      </c>
      <c r="C8" t="s">
        <v>42</v>
      </c>
      <c r="D8" t="s">
        <v>131</v>
      </c>
      <c r="E8" t="s">
        <v>78</v>
      </c>
      <c r="F8">
        <v>18109</v>
      </c>
      <c r="G8">
        <v>0</v>
      </c>
      <c r="H8">
        <v>-4992</v>
      </c>
      <c r="I8">
        <v>1611</v>
      </c>
      <c r="J8">
        <v>14728</v>
      </c>
      <c r="K8" s="19" t="e">
        <f>VLOOKUP(D8,Amazon詳細!D:D,1,0)</f>
        <v>#N/A</v>
      </c>
    </row>
    <row r="9" spans="1:11" x14ac:dyDescent="0.8">
      <c r="A9" s="9">
        <v>46018</v>
      </c>
      <c r="B9" t="s">
        <v>61</v>
      </c>
      <c r="C9" t="s">
        <v>42</v>
      </c>
      <c r="D9" t="s">
        <v>132</v>
      </c>
      <c r="E9" t="s">
        <v>78</v>
      </c>
      <c r="F9">
        <v>4527</v>
      </c>
      <c r="G9">
        <v>-418</v>
      </c>
      <c r="H9">
        <v>-1248</v>
      </c>
      <c r="I9">
        <v>821</v>
      </c>
      <c r="J9">
        <v>3682</v>
      </c>
      <c r="K9" s="19" t="e">
        <f>VLOOKUP(D9,Amazon詳細!D:D,1,0)</f>
        <v>#N/A</v>
      </c>
    </row>
    <row r="10" spans="1:11" x14ac:dyDescent="0.8">
      <c r="A10" s="9">
        <v>46018</v>
      </c>
      <c r="B10" t="s">
        <v>61</v>
      </c>
      <c r="C10" t="s">
        <v>42</v>
      </c>
      <c r="D10" t="s">
        <v>133</v>
      </c>
      <c r="E10" t="s">
        <v>78</v>
      </c>
      <c r="F10">
        <v>4527</v>
      </c>
      <c r="G10">
        <v>0</v>
      </c>
      <c r="H10">
        <v>-1248</v>
      </c>
      <c r="I10">
        <v>403</v>
      </c>
      <c r="J10">
        <v>3682</v>
      </c>
      <c r="K10" s="19" t="e">
        <f>VLOOKUP(D10,Amazon詳細!D:D,1,0)</f>
        <v>#N/A</v>
      </c>
    </row>
    <row r="11" spans="1:11" x14ac:dyDescent="0.8">
      <c r="A11" s="9">
        <v>46018</v>
      </c>
      <c r="B11" t="s">
        <v>61</v>
      </c>
      <c r="C11" t="s">
        <v>42</v>
      </c>
      <c r="D11" t="s">
        <v>134</v>
      </c>
      <c r="E11" t="s">
        <v>78</v>
      </c>
      <c r="F11">
        <v>4527</v>
      </c>
      <c r="G11">
        <v>0</v>
      </c>
      <c r="H11">
        <v>-1248</v>
      </c>
      <c r="I11">
        <v>403</v>
      </c>
      <c r="J11">
        <v>3682</v>
      </c>
      <c r="K11" s="19" t="e">
        <f>VLOOKUP(D11,Amazon詳細!D:D,1,0)</f>
        <v>#N/A</v>
      </c>
    </row>
    <row r="12" spans="1:11" x14ac:dyDescent="0.8">
      <c r="A12" s="9">
        <v>46018</v>
      </c>
      <c r="B12" t="s">
        <v>61</v>
      </c>
      <c r="C12" t="s">
        <v>42</v>
      </c>
      <c r="D12" t="s">
        <v>135</v>
      </c>
      <c r="E12" t="s">
        <v>78</v>
      </c>
      <c r="F12">
        <v>4527</v>
      </c>
      <c r="G12">
        <v>0</v>
      </c>
      <c r="H12">
        <v>-1248</v>
      </c>
      <c r="I12">
        <v>403</v>
      </c>
      <c r="J12">
        <v>3682</v>
      </c>
      <c r="K12" s="19" t="e">
        <f>VLOOKUP(D12,Amazon詳細!D:D,1,0)</f>
        <v>#N/A</v>
      </c>
    </row>
    <row r="13" spans="1:11" x14ac:dyDescent="0.8">
      <c r="A13" s="9">
        <v>46018</v>
      </c>
      <c r="B13" t="s">
        <v>61</v>
      </c>
      <c r="C13" t="s">
        <v>42</v>
      </c>
      <c r="D13" t="s">
        <v>136</v>
      </c>
      <c r="E13" t="s">
        <v>78</v>
      </c>
      <c r="F13">
        <v>4527</v>
      </c>
      <c r="G13">
        <v>0</v>
      </c>
      <c r="H13">
        <v>-1248</v>
      </c>
      <c r="I13">
        <v>403</v>
      </c>
      <c r="J13">
        <v>3682</v>
      </c>
      <c r="K13" s="19" t="e">
        <f>VLOOKUP(D13,Amazon詳細!D:D,1,0)</f>
        <v>#N/A</v>
      </c>
    </row>
    <row r="14" spans="1:11" x14ac:dyDescent="0.8">
      <c r="A14" s="9">
        <v>46018</v>
      </c>
      <c r="B14" t="s">
        <v>61</v>
      </c>
      <c r="C14" t="s">
        <v>42</v>
      </c>
      <c r="D14" t="s">
        <v>137</v>
      </c>
      <c r="E14" t="s">
        <v>78</v>
      </c>
      <c r="F14">
        <v>4527</v>
      </c>
      <c r="G14">
        <v>0</v>
      </c>
      <c r="H14">
        <v>-1248</v>
      </c>
      <c r="I14">
        <v>403</v>
      </c>
      <c r="J14">
        <v>3682</v>
      </c>
      <c r="K14" s="19" t="e">
        <f>VLOOKUP(D14,Amazon詳細!D:D,1,0)</f>
        <v>#N/A</v>
      </c>
    </row>
    <row r="15" spans="1:11" x14ac:dyDescent="0.8">
      <c r="A15" s="9">
        <v>45992</v>
      </c>
      <c r="B15" t="s">
        <v>61</v>
      </c>
      <c r="C15" t="s">
        <v>42</v>
      </c>
      <c r="D15" t="s">
        <v>138</v>
      </c>
      <c r="E15" t="s">
        <v>78</v>
      </c>
      <c r="F15">
        <v>4893</v>
      </c>
      <c r="G15">
        <v>0</v>
      </c>
      <c r="H15">
        <v>-1334</v>
      </c>
      <c r="I15">
        <v>435</v>
      </c>
      <c r="J15">
        <v>3994</v>
      </c>
      <c r="K15" s="19" t="e">
        <f>VLOOKUP(D15,Amazon詳細!D:D,1,0)</f>
        <v>#N/A</v>
      </c>
    </row>
    <row r="16" spans="1:11" x14ac:dyDescent="0.8">
      <c r="K16" s="19" t="e">
        <f>VLOOKUP(D16,Amazon詳細!D:D,1,0)</f>
        <v>#N/A</v>
      </c>
    </row>
    <row r="17" spans="11:11" x14ac:dyDescent="0.8">
      <c r="K17" s="19" t="e">
        <f>VLOOKUP(D17,Amazon詳細!D:D,1,0)</f>
        <v>#N/A</v>
      </c>
    </row>
    <row r="18" spans="11:11" x14ac:dyDescent="0.8">
      <c r="K18" s="19" t="e">
        <f>VLOOKUP(D18,Amazon詳細!D:D,1,0)</f>
        <v>#N/A</v>
      </c>
    </row>
    <row r="19" spans="11:11" x14ac:dyDescent="0.8">
      <c r="K19" s="19" t="e">
        <f>VLOOKUP(D19,Amazon詳細!D:D,1,0)</f>
        <v>#N/A</v>
      </c>
    </row>
    <row r="20" spans="11:11" x14ac:dyDescent="0.8">
      <c r="K20" s="19" t="e">
        <f>VLOOKUP(D20,Amazon詳細!D:D,1,0)</f>
        <v>#N/A</v>
      </c>
    </row>
    <row r="21" spans="11:11" x14ac:dyDescent="0.8">
      <c r="K21" s="19" t="e">
        <f>VLOOKUP(D21,Amazon詳細!D:D,1,0)</f>
        <v>#N/A</v>
      </c>
    </row>
    <row r="22" spans="11:11" x14ac:dyDescent="0.8">
      <c r="K22" s="19" t="e">
        <f>VLOOKUP(D22,Amazon詳細!D:D,1,0)</f>
        <v>#N/A</v>
      </c>
    </row>
    <row r="23" spans="11:11" x14ac:dyDescent="0.8">
      <c r="K23" s="19" t="e">
        <f>VLOOKUP(D23,Amazon詳細!D:D,1,0)</f>
        <v>#N/A</v>
      </c>
    </row>
    <row r="24" spans="11:11" x14ac:dyDescent="0.8">
      <c r="K24" s="19" t="e">
        <f>VLOOKUP(D24,Amazon詳細!D:D,1,0)</f>
        <v>#N/A</v>
      </c>
    </row>
    <row r="25" spans="11:11" x14ac:dyDescent="0.8">
      <c r="K25" s="19" t="e">
        <f>VLOOKUP(D25,Amazon詳細!D:D,1,0)</f>
        <v>#N/A</v>
      </c>
    </row>
    <row r="26" spans="11:11" x14ac:dyDescent="0.8">
      <c r="K26" s="19" t="e">
        <f>VLOOKUP(D26,Amazon詳細!D:D,1,0)</f>
        <v>#N/A</v>
      </c>
    </row>
    <row r="33" spans="1:1" x14ac:dyDescent="0.8">
      <c r="A33" s="9"/>
    </row>
    <row r="34" spans="1:1" x14ac:dyDescent="0.8">
      <c r="A34" s="9"/>
    </row>
    <row r="35" spans="1:1" x14ac:dyDescent="0.8">
      <c r="A35" s="9"/>
    </row>
    <row r="36" spans="1:1" x14ac:dyDescent="0.8">
      <c r="A36" s="9"/>
    </row>
    <row r="37" spans="1:1" x14ac:dyDescent="0.8">
      <c r="A37" s="9"/>
    </row>
    <row r="38" spans="1:1" x14ac:dyDescent="0.8">
      <c r="A38" s="9"/>
    </row>
    <row r="39" spans="1:1" x14ac:dyDescent="0.8">
      <c r="A39" s="9"/>
    </row>
    <row r="40" spans="1:1" x14ac:dyDescent="0.8">
      <c r="A40" s="9"/>
    </row>
    <row r="41" spans="1:1" x14ac:dyDescent="0.8">
      <c r="A41" s="9"/>
    </row>
    <row r="42" spans="1:1" x14ac:dyDescent="0.8">
      <c r="A42" s="9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E26" sqref="E26"/>
    </sheetView>
  </sheetViews>
  <sheetFormatPr defaultColWidth="10.6640625" defaultRowHeight="19.899999999999999" x14ac:dyDescent="0.8"/>
  <cols>
    <col min="13" max="13" width="10.71875" style="8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8" t="s">
        <v>19</v>
      </c>
    </row>
    <row r="2" spans="1:13" x14ac:dyDescent="0.8">
      <c r="A2" s="9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8">
        <f t="shared" ref="M2:M17" si="0">I2/K2</f>
        <v>3.7443402784301201E-2</v>
      </c>
    </row>
    <row r="3" spans="1:13" x14ac:dyDescent="0.8">
      <c r="A3" s="9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8">
        <f t="shared" si="0"/>
        <v>3.6885245901639344E-2</v>
      </c>
    </row>
    <row r="4" spans="1:13" x14ac:dyDescent="0.8">
      <c r="A4" s="9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8">
        <f t="shared" si="0"/>
        <v>3.683953584438019E-2</v>
      </c>
    </row>
    <row r="5" spans="1:13" x14ac:dyDescent="0.8">
      <c r="A5" s="9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8">
        <f t="shared" si="0"/>
        <v>3.6825461593389779E-2</v>
      </c>
    </row>
    <row r="6" spans="1:13" x14ac:dyDescent="0.8">
      <c r="A6" s="9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8">
        <f t="shared" si="0"/>
        <v>3.718177377395572E-2</v>
      </c>
    </row>
    <row r="7" spans="1:13" x14ac:dyDescent="0.8">
      <c r="A7" s="9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8">
        <f t="shared" si="0"/>
        <v>3.7838694971358347E-2</v>
      </c>
    </row>
    <row r="8" spans="1:13" x14ac:dyDescent="0.8">
      <c r="A8" s="9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8">
        <f t="shared" si="0"/>
        <v>3.6861506055818852E-2</v>
      </c>
    </row>
    <row r="9" spans="1:13" x14ac:dyDescent="0.8">
      <c r="A9" s="9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8">
        <f t="shared" si="0"/>
        <v>3.6818851251840944E-2</v>
      </c>
    </row>
    <row r="10" spans="1:13" x14ac:dyDescent="0.8">
      <c r="A10" s="9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8">
        <f t="shared" si="0"/>
        <v>3.6831401917427932E-2</v>
      </c>
    </row>
    <row r="11" spans="1:13" x14ac:dyDescent="0.8">
      <c r="A11" s="9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8">
        <f t="shared" si="0"/>
        <v>3.6838729468194872E-2</v>
      </c>
    </row>
    <row r="12" spans="1:13" x14ac:dyDescent="0.8">
      <c r="A12" s="9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8">
        <f t="shared" si="0"/>
        <v>3.7946428571428568E-2</v>
      </c>
    </row>
    <row r="13" spans="1:13" x14ac:dyDescent="0.8">
      <c r="A13" s="9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8">
        <f t="shared" si="0"/>
        <v>3.6885245901639344E-2</v>
      </c>
    </row>
    <row r="14" spans="1:13" x14ac:dyDescent="0.8">
      <c r="A14" s="9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8">
        <f t="shared" si="0"/>
        <v>3.7091401795291593E-2</v>
      </c>
    </row>
    <row r="15" spans="1:13" x14ac:dyDescent="0.8">
      <c r="A15" s="9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8">
        <f t="shared" si="0"/>
        <v>3.6808633648101753E-2</v>
      </c>
    </row>
    <row r="16" spans="1:13" x14ac:dyDescent="0.8">
      <c r="A16" s="9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8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8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留保中1月請求時確認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2026-01-04T14:55:37Z</cp:lastPrinted>
  <dcterms:created xsi:type="dcterms:W3CDTF">2025-01-24T08:40:17Z</dcterms:created>
  <dcterms:modified xsi:type="dcterms:W3CDTF">2026-03-13T21:12:24Z</dcterms:modified>
</cp:coreProperties>
</file>